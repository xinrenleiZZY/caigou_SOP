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ctiveTab="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  <sheet xmlns:r="http://schemas.openxmlformats.org/officeDocument/2006/relationships" name="25.5数据分析" sheetId="7" state="visible" r:id="rId7"/>
    <sheet xmlns:r="http://schemas.openxmlformats.org/officeDocument/2006/relationships" name="26.5数据分析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4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1"/>
    </font>
    <font>
      <name val="宋体"/>
      <sz val="11"/>
    </font>
  </fonts>
  <fills count="4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30C0B4"/>
        <bgColor rgb="0030C0B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32" fillId="39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10" fontId="33" fillId="0" borderId="0" applyAlignment="1" pivotButton="0" quotePrefix="0" xfId="0">
      <alignment horizontal="center" vertical="center"/>
    </xf>
    <xf numFmtId="0" fontId="33" fillId="40" borderId="0" applyAlignment="1" pivotButton="0" quotePrefix="0" xfId="0">
      <alignment horizontal="center" vertical="center"/>
    </xf>
    <xf numFmtId="10" fontId="33" fillId="40" borderId="0" applyAlignment="1" pivotButton="0" quotePrefix="0" xfId="0">
      <alignment horizontal="center" vertical="center"/>
    </xf>
    <xf numFmtId="0" fontId="33" fillId="41" borderId="0" applyAlignment="1" pivotButton="0" quotePrefix="0" xfId="0">
      <alignment horizontal="center" vertical="center"/>
    </xf>
    <xf numFmtId="10" fontId="33" fillId="41" borderId="0" applyAlignment="1" pivotButton="0" quotePrefix="0" xfId="0">
      <alignment horizontal="center" vertical="center"/>
    </xf>
    <xf numFmtId="0" fontId="33" fillId="42" borderId="0" applyAlignment="1" pivotButton="0" quotePrefix="0" xfId="0">
      <alignment horizontal="center" vertical="center"/>
    </xf>
    <xf numFmtId="10" fontId="33" fillId="4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  <row r="10">
      <c r="A10" s="28" t="n">
        <v>5</v>
      </c>
      <c r="B10" s="29" t="inlineStr">
        <is>
          <t>广州</t>
        </is>
      </c>
      <c r="C10" s="30" t="n">
        <v>59541</v>
      </c>
      <c r="D10" s="86">
        <f>C10/$E$10</f>
        <v/>
      </c>
      <c r="E10" s="87">
        <f>C10+C11</f>
        <v/>
      </c>
      <c r="F10" s="30" t="n">
        <v>1336822.78</v>
      </c>
      <c r="G10" s="86">
        <f>F10/$H$10</f>
        <v/>
      </c>
      <c r="H10" s="87">
        <f>F10+F11</f>
        <v/>
      </c>
    </row>
    <row r="11">
      <c r="A11" s="81" t="n"/>
      <c r="B11" s="32" t="inlineStr">
        <is>
          <t>义乌</t>
        </is>
      </c>
      <c r="C11" s="33" t="n">
        <v>20873</v>
      </c>
      <c r="D11" s="88">
        <f>C11/$E$10</f>
        <v/>
      </c>
      <c r="E11" s="82" t="n"/>
      <c r="F11" s="33" t="n">
        <v>343628.98</v>
      </c>
      <c r="G11" s="88">
        <f>F11/$H$10</f>
        <v/>
      </c>
      <c r="H11" s="82" t="n"/>
    </row>
  </sheetData>
  <mergeCells count="15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A10:A11"/>
    <mergeCell ref="E10:E11"/>
    <mergeCell ref="E2:E3"/>
    <mergeCell ref="H10:H11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13" customWidth="1" style="15" min="3" max="3"/>
    <col width="8.875" customWidth="1" style="15" min="10" max="16361"/>
    <col width="13" customWidth="1" style="15" min="11" max="1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  <c r="J1" s="89" t="inlineStr">
        <is>
          <t>25.5</t>
        </is>
      </c>
      <c r="K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  <c r="J2" s="30" t="n">
        <v>56621</v>
      </c>
      <c r="K2" s="86">
        <f>J2/J4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  <c r="J3" s="30" t="n">
        <v>7781</v>
      </c>
      <c r="K3" s="86">
        <f>J3/J4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  <c r="J4" s="30">
        <f>J2+J3</f>
        <v/>
      </c>
      <c r="K4" s="86">
        <f>J4/J4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  <c r="J7" s="89" t="inlineStr">
        <is>
          <t>26.5</t>
        </is>
      </c>
      <c r="K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  <c r="J8" s="30" t="n">
        <v>59541</v>
      </c>
      <c r="K8" s="86">
        <f>J8/J$10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  <c r="J9" s="30" t="n">
        <v>20873</v>
      </c>
      <c r="K9" s="86">
        <f>J9/J$10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  <c r="J10" s="30">
        <f>J8+J9</f>
        <v/>
      </c>
      <c r="K10" s="86">
        <f>J10/J$10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  <c r="J13" s="89" t="n">
        <v>5</v>
      </c>
      <c r="K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  <c r="J14" s="30">
        <f>J8-J2</f>
        <v/>
      </c>
      <c r="K14" s="86">
        <f>K8-K2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  <c r="J15" s="30">
        <f>J9-J3</f>
        <v/>
      </c>
      <c r="K15" s="86">
        <f>K9-K3</f>
        <v/>
      </c>
    </row>
  </sheetData>
  <mergeCells count="15">
    <mergeCell ref="B13:C13"/>
    <mergeCell ref="D7:E7"/>
    <mergeCell ref="B7:C7"/>
    <mergeCell ref="D1:E1"/>
    <mergeCell ref="J13:K13"/>
    <mergeCell ref="H7:I7"/>
    <mergeCell ref="D13:E13"/>
    <mergeCell ref="H1:I1"/>
    <mergeCell ref="J7:K7"/>
    <mergeCell ref="J1:K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  <col width="14.125" customWidth="1" style="15" min="7" max="7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  <c r="G3" s="17" t="inlineStr">
        <is>
          <t>25.5</t>
        </is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  <c r="G4" s="30" t="n">
        <v>64402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  <c r="G5" s="30" t="n">
        <v>1266887.44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  <c r="G8" s="17" t="inlineStr">
        <is>
          <t>26.5</t>
        </is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  <c r="G9" s="30" t="n">
        <v>80414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  <c r="G10" s="30" t="n">
        <v>1680451.76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  <c r="G13" s="17" t="n">
        <v>5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  <c r="G14" s="20" t="n">
        <v>16012</v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  <c r="G15" s="20" t="n">
        <v>413564.32</v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  <c r="G20" s="17" t="inlineStr">
        <is>
          <t>25.5</t>
        </is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  <c r="G21" s="30" t="n">
        <v>14458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  <c r="G22" s="30" t="n">
        <v>177855.11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  <c r="G25" s="17" t="inlineStr">
        <is>
          <t>26.5</t>
        </is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  <c r="G26" s="30" t="n">
        <v>12580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  <c r="G27" s="30" t="n">
        <v>210187.34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  <c r="G30" s="17" t="n">
        <v>5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  <c r="G31" s="20" t="n">
        <v>-1878</v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  <c r="G32" s="20" t="n">
        <v>32332.23</v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  <c r="G37" s="17" t="inlineStr">
        <is>
          <t>25.5</t>
        </is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  <c r="G38" s="30" t="n">
        <v>6982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  <c r="G39" s="30" t="n">
        <v>43288.4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  <c r="G42" s="17" t="inlineStr">
        <is>
          <t>26.5</t>
        </is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  <c r="G43" s="30" t="n">
        <v>34160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  <c r="G44" s="30" t="n">
        <v>108350.35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  <c r="G47" s="17" t="n">
        <v>5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  <c r="G48" s="20" t="n">
        <v>27178</v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  <c r="G49" s="20" t="n">
        <v>65061.95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202505</v>
      </c>
      <c r="B14" s="9" t="n"/>
      <c r="C14" s="9" t="n">
        <v>64402</v>
      </c>
      <c r="D14" s="84" t="n">
        <v>1266887.44</v>
      </c>
      <c r="E14" s="90" t="n"/>
      <c r="F14" s="90" t="n"/>
    </row>
    <row r="15" s="15">
      <c r="A15" s="9" t="n">
        <v>202505</v>
      </c>
      <c r="B15" s="9" t="inlineStr">
        <is>
          <t>是</t>
        </is>
      </c>
      <c r="C15" s="9" t="n">
        <v>12930</v>
      </c>
      <c r="D15" s="84" t="n">
        <v>283128.33</v>
      </c>
      <c r="E15" s="90">
        <f>C15/C14</f>
        <v/>
      </c>
      <c r="F15" s="90">
        <f>D15/D14</f>
        <v/>
      </c>
    </row>
    <row r="16" s="15">
      <c r="A16" s="9" t="n">
        <v>202512</v>
      </c>
      <c r="B16" s="9" t="n"/>
      <c r="C16" s="9" t="n">
        <v>83742</v>
      </c>
      <c r="D16" s="84" t="n">
        <v>1632425.7216</v>
      </c>
      <c r="E16" s="11" t="n"/>
      <c r="F16" s="11" t="n"/>
    </row>
    <row r="17" s="15">
      <c r="A17" s="9" t="n">
        <v>202512</v>
      </c>
      <c r="B17" s="9" t="inlineStr">
        <is>
          <t>是</t>
        </is>
      </c>
      <c r="C17" s="9" t="n">
        <v>77156</v>
      </c>
      <c r="D17" s="84" t="n">
        <v>1509473.3796</v>
      </c>
      <c r="E17" s="11">
        <f>C17/C16</f>
        <v/>
      </c>
      <c r="F17" s="11">
        <f>D17/D16</f>
        <v/>
      </c>
    </row>
    <row r="18" customFormat="1" s="8">
      <c r="A18" s="9" t="n"/>
      <c r="B18" s="9" t="n"/>
      <c r="C18" s="9" t="n"/>
      <c r="D18" s="84" t="n"/>
      <c r="E18" s="11" t="n"/>
      <c r="F18" s="11" t="n"/>
    </row>
    <row r="19" customFormat="1" s="8">
      <c r="A19" s="9" t="n"/>
      <c r="B19" s="9" t="n"/>
      <c r="C19" s="9" t="n"/>
      <c r="D19" s="84" t="n"/>
      <c r="E19" s="11" t="n"/>
      <c r="F19" s="11" t="n"/>
    </row>
    <row r="20">
      <c r="A20" s="9" t="n">
        <v>202601</v>
      </c>
      <c r="B20" s="9" t="n"/>
      <c r="C20" s="9" t="n">
        <v>80008</v>
      </c>
      <c r="D20" s="84" t="n">
        <v>1651055.8416</v>
      </c>
      <c r="E20" s="11" t="n"/>
      <c r="F20" s="11" t="n"/>
    </row>
    <row r="21">
      <c r="A21" s="9" t="n">
        <v>202601</v>
      </c>
      <c r="B21" s="9" t="inlineStr">
        <is>
          <t>是</t>
        </is>
      </c>
      <c r="C21" s="9" t="n">
        <v>75462</v>
      </c>
      <c r="D21" s="84" t="n">
        <v>1554687.3516</v>
      </c>
      <c r="E21" s="11">
        <f>C21/C20</f>
        <v/>
      </c>
      <c r="F21" s="11">
        <f>D21/D20</f>
        <v/>
      </c>
    </row>
    <row r="22">
      <c r="A22" s="9" t="n">
        <v>202602</v>
      </c>
      <c r="C22" s="9" t="n">
        <v>49147</v>
      </c>
      <c r="D22" s="84" t="n">
        <v>1075948.1205</v>
      </c>
    </row>
    <row r="23">
      <c r="A23" s="9" t="n">
        <v>202602</v>
      </c>
      <c r="B23" s="9" t="inlineStr">
        <is>
          <t>是</t>
        </is>
      </c>
      <c r="C23" s="9" t="n">
        <v>46291</v>
      </c>
      <c r="D23" s="84" t="n">
        <v>1007969.1155</v>
      </c>
      <c r="E23" s="11">
        <f>C23/C22</f>
        <v/>
      </c>
      <c r="F23" s="11">
        <f>D23/D22</f>
        <v/>
      </c>
    </row>
    <row r="24">
      <c r="A24" s="9" t="n">
        <v>202603</v>
      </c>
      <c r="C24" s="9" t="n">
        <v>75559</v>
      </c>
      <c r="D24" s="84" t="n">
        <v>1763122.9235</v>
      </c>
    </row>
    <row r="25">
      <c r="A25" s="9" t="n">
        <v>202603</v>
      </c>
      <c r="B25" s="9" t="inlineStr">
        <is>
          <t>是</t>
        </is>
      </c>
      <c r="C25" s="9" t="n">
        <v>73799</v>
      </c>
      <c r="D25" s="84" t="n">
        <v>1711060.4135</v>
      </c>
      <c r="E25" s="11">
        <f>C25/C24</f>
        <v/>
      </c>
      <c r="F25" s="11">
        <f>D25/D24</f>
        <v/>
      </c>
    </row>
    <row r="26">
      <c r="A26" s="9" t="n">
        <v>202604</v>
      </c>
      <c r="C26" s="9" t="n">
        <v>101371</v>
      </c>
      <c r="D26" s="84" t="n">
        <v>2384208.095</v>
      </c>
    </row>
    <row r="27">
      <c r="A27" s="9" t="n">
        <v>202604</v>
      </c>
      <c r="B27" s="9" t="inlineStr">
        <is>
          <t>是</t>
        </is>
      </c>
      <c r="C27" s="9" t="n">
        <v>97193</v>
      </c>
      <c r="D27" s="84" t="n">
        <v>2297502.189</v>
      </c>
      <c r="E27" s="11">
        <f>C27/C26</f>
        <v/>
      </c>
      <c r="F27" s="11">
        <f>D27/D26</f>
        <v/>
      </c>
    </row>
    <row r="28">
      <c r="A28" s="9" t="n">
        <v>202605</v>
      </c>
      <c r="B28" s="9" t="n"/>
      <c r="C28" s="9" t="n">
        <v>80414</v>
      </c>
      <c r="D28" s="84" t="n">
        <v>1680451.76</v>
      </c>
      <c r="E28" s="90" t="n"/>
      <c r="F28" s="90" t="n"/>
    </row>
    <row r="29">
      <c r="A29" s="9" t="n">
        <v>202605</v>
      </c>
      <c r="B29" s="9" t="inlineStr">
        <is>
          <t>是</t>
        </is>
      </c>
      <c r="C29" s="9" t="n">
        <v>74121</v>
      </c>
      <c r="D29" s="84" t="n">
        <v>1555050.56</v>
      </c>
      <c r="E29" s="90">
        <f>C29/C28</f>
        <v/>
      </c>
      <c r="F29" s="90">
        <f>D29/D28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64402</v>
      </c>
      <c r="H2" s="93">
        <f>G2/G$31</f>
        <v/>
      </c>
      <c r="I2" s="92" t="n">
        <v>1266887.44</v>
      </c>
      <c r="J2" s="93">
        <f>I2/I$31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56621</v>
      </c>
      <c r="H3" s="95">
        <f>G3/G$31</f>
        <v/>
      </c>
      <c r="I3" s="94" t="n">
        <v>1168216.862</v>
      </c>
      <c r="J3" s="95">
        <f>I3/I$31</f>
        <v/>
      </c>
    </row>
    <row r="4">
      <c r="A4" s="96" t="n"/>
      <c r="B4" s="96" t="n"/>
      <c r="C4" s="96" t="inlineStr">
        <is>
          <t>供应商不在浙江</t>
        </is>
      </c>
      <c r="D4" s="96" t="n"/>
      <c r="E4" s="96" t="n"/>
      <c r="F4" s="96" t="n"/>
      <c r="G4" s="96" t="n">
        <v>7569</v>
      </c>
      <c r="H4" s="97">
        <f>G4/G$31</f>
        <v/>
      </c>
      <c r="I4" s="96" t="n">
        <v>153123.32</v>
      </c>
      <c r="J4" s="97">
        <f>I4/I$31</f>
        <v/>
      </c>
    </row>
    <row r="5">
      <c r="A5" s="92" t="n"/>
      <c r="B5" s="92" t="n"/>
      <c r="C5" s="92" t="n"/>
      <c r="D5" s="92" t="inlineStr">
        <is>
          <t>否</t>
        </is>
      </c>
      <c r="E5" s="92" t="n"/>
      <c r="F5" s="92" t="n"/>
      <c r="G5" s="92" t="n">
        <v>7569</v>
      </c>
      <c r="H5" s="93">
        <f>G5/G$31</f>
        <v/>
      </c>
      <c r="I5" s="92" t="n">
        <v>153123.32</v>
      </c>
      <c r="J5" s="93">
        <f>I5/I$31</f>
        <v/>
      </c>
    </row>
    <row r="6">
      <c r="A6" s="92" t="n"/>
      <c r="B6" s="92" t="n"/>
      <c r="C6" s="92" t="n"/>
      <c r="D6" s="92" t="n"/>
      <c r="E6" s="92" t="inlineStr">
        <is>
          <t>供应商不在浙江</t>
        </is>
      </c>
      <c r="F6" s="92" t="n"/>
      <c r="G6" s="92" t="n">
        <v>7569</v>
      </c>
      <c r="H6" s="93">
        <f>G6/G$31</f>
        <v/>
      </c>
      <c r="I6" s="92" t="n">
        <v>153123.32</v>
      </c>
      <c r="J6" s="93">
        <f>I6/I$31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7569</v>
      </c>
      <c r="H7" s="93">
        <f>G7/G$31</f>
        <v/>
      </c>
      <c r="I7" s="92" t="n">
        <v>153123.32</v>
      </c>
      <c r="J7" s="93">
        <f>I7/I$31</f>
        <v/>
      </c>
    </row>
    <row r="8">
      <c r="A8" s="92" t="n"/>
      <c r="B8" s="92" t="n"/>
      <c r="C8" s="92" t="inlineStr">
        <is>
          <t>容易出次品</t>
        </is>
      </c>
      <c r="D8" s="92" t="n"/>
      <c r="E8" s="92" t="n"/>
      <c r="F8" s="92" t="n"/>
      <c r="G8" s="92" t="n">
        <v>1850</v>
      </c>
      <c r="H8" s="93">
        <f>G8/G$31</f>
        <v/>
      </c>
      <c r="I8" s="92" t="n">
        <v>38226.5</v>
      </c>
      <c r="J8" s="93">
        <f>I8/I$31</f>
        <v/>
      </c>
    </row>
    <row r="9">
      <c r="A9" s="92" t="n"/>
      <c r="B9" s="92" t="n"/>
      <c r="C9" s="92" t="n"/>
      <c r="D9" s="92" t="inlineStr">
        <is>
          <t>否</t>
        </is>
      </c>
      <c r="E9" s="92" t="n"/>
      <c r="F9" s="92" t="n"/>
      <c r="G9" s="92" t="n">
        <v>1850</v>
      </c>
      <c r="H9" s="93">
        <f>G9/G$31</f>
        <v/>
      </c>
      <c r="I9" s="92" t="n">
        <v>38226.5</v>
      </c>
      <c r="J9" s="93">
        <f>I9/I$31</f>
        <v/>
      </c>
    </row>
    <row r="10">
      <c r="A10" s="92" t="n"/>
      <c r="B10" s="92" t="n"/>
      <c r="C10" s="92" t="n"/>
      <c r="D10" s="92" t="n"/>
      <c r="E10" s="92" t="inlineStr">
        <is>
          <t>容易出次品</t>
        </is>
      </c>
      <c r="F10" s="92" t="n"/>
      <c r="G10" s="92" t="n">
        <v>1850</v>
      </c>
      <c r="H10" s="93">
        <f>G10/G$31</f>
        <v/>
      </c>
      <c r="I10" s="92" t="n">
        <v>38226.5</v>
      </c>
      <c r="J10" s="93">
        <f>I10/I$31</f>
        <v/>
      </c>
    </row>
    <row r="11">
      <c r="A11" s="92" t="n"/>
      <c r="B11" s="92" t="n"/>
      <c r="C11" s="92" t="n"/>
      <c r="D11" s="92" t="n"/>
      <c r="E11" s="92" t="n"/>
      <c r="F11" s="92" t="inlineStr">
        <is>
          <t>否</t>
        </is>
      </c>
      <c r="G11" s="92" t="n">
        <v>1850</v>
      </c>
      <c r="H11" s="93">
        <f>G11/G$31</f>
        <v/>
      </c>
      <c r="I11" s="92" t="n">
        <v>38226.5</v>
      </c>
      <c r="J11" s="93">
        <f>I11/I$31</f>
        <v/>
      </c>
    </row>
    <row r="12">
      <c r="A12" s="92" t="n"/>
      <c r="B12" s="92" t="n"/>
      <c r="C12" s="92" t="inlineStr">
        <is>
          <t>思奇休息</t>
        </is>
      </c>
      <c r="D12" s="92" t="n"/>
      <c r="E12" s="92" t="n"/>
      <c r="F12" s="92" t="n"/>
      <c r="G12" s="92" t="n">
        <v>200</v>
      </c>
      <c r="H12" s="93">
        <f>G12/G$31</f>
        <v/>
      </c>
      <c r="I12" s="92" t="n">
        <v>2204.6</v>
      </c>
      <c r="J12" s="93">
        <f>I12/I$31</f>
        <v/>
      </c>
    </row>
    <row r="13">
      <c r="A13" s="92" t="n"/>
      <c r="B13" s="92" t="n"/>
      <c r="C13" s="92" t="n"/>
      <c r="D13" s="92" t="inlineStr">
        <is>
          <t>是</t>
        </is>
      </c>
      <c r="E13" s="92" t="n"/>
      <c r="F13" s="92" t="n"/>
      <c r="G13" s="92" t="n">
        <v>200</v>
      </c>
      <c r="H13" s="93">
        <f>G13/G$31</f>
        <v/>
      </c>
      <c r="I13" s="92" t="n">
        <v>2204.6</v>
      </c>
      <c r="J13" s="93">
        <f>I13/I$31</f>
        <v/>
      </c>
    </row>
    <row r="14">
      <c r="A14" s="92" t="n"/>
      <c r="B14" s="92" t="n"/>
      <c r="C14" s="92" t="n"/>
      <c r="D14" s="92" t="n"/>
      <c r="E14" s="92" t="inlineStr">
        <is>
          <t>(空白)</t>
        </is>
      </c>
      <c r="F14" s="92" t="n"/>
      <c r="G14" s="92" t="n">
        <v>200</v>
      </c>
      <c r="H14" s="93">
        <f>G14/G$31</f>
        <v/>
      </c>
      <c r="I14" s="92" t="n">
        <v>2204.6</v>
      </c>
      <c r="J14" s="93">
        <f>I14/I$31</f>
        <v/>
      </c>
    </row>
    <row r="15">
      <c r="A15" s="92" t="n"/>
      <c r="B15" s="92" t="n"/>
      <c r="C15" s="92" t="n"/>
      <c r="D15" s="92" t="n"/>
      <c r="E15" s="92" t="n"/>
      <c r="F15" s="92" t="inlineStr">
        <is>
          <t>否</t>
        </is>
      </c>
      <c r="G15" s="92" t="n">
        <v>200</v>
      </c>
      <c r="H15" s="93">
        <f>G15/G$31</f>
        <v/>
      </c>
      <c r="I15" s="92" t="n">
        <v>2204.6</v>
      </c>
      <c r="J15" s="93">
        <f>I15/I$31</f>
        <v/>
      </c>
    </row>
    <row r="16">
      <c r="A16" s="96" t="n"/>
      <c r="B16" s="96" t="n"/>
      <c r="C16" s="96" t="inlineStr">
        <is>
          <t>需要压缩</t>
        </is>
      </c>
      <c r="D16" s="96" t="n"/>
      <c r="E16" s="96" t="n"/>
      <c r="F16" s="96" t="n"/>
      <c r="G16" s="96" t="n">
        <v>38795</v>
      </c>
      <c r="H16" s="97">
        <f>G16/G$31</f>
        <v/>
      </c>
      <c r="I16" s="96" t="n">
        <v>819885.5769999999</v>
      </c>
      <c r="J16" s="97">
        <f>I16/I$31</f>
        <v/>
      </c>
    </row>
    <row r="17">
      <c r="A17" s="92" t="n"/>
      <c r="B17" s="92" t="n"/>
      <c r="C17" s="92" t="n"/>
      <c r="D17" s="92" t="inlineStr">
        <is>
          <t>否</t>
        </is>
      </c>
      <c r="E17" s="92" t="n"/>
      <c r="F17" s="92" t="n"/>
      <c r="G17" s="92" t="n">
        <v>38795</v>
      </c>
      <c r="H17" s="93">
        <f>G17/G$31</f>
        <v/>
      </c>
      <c r="I17" s="92" t="n">
        <v>819885.5769999999</v>
      </c>
      <c r="J17" s="93">
        <f>I17/I$31</f>
        <v/>
      </c>
    </row>
    <row r="18">
      <c r="A18" s="92" t="n"/>
      <c r="B18" s="92" t="n"/>
      <c r="C18" s="92" t="n"/>
      <c r="D18" s="92" t="n"/>
      <c r="E18" s="92" t="inlineStr">
        <is>
          <t>需要压缩</t>
        </is>
      </c>
      <c r="F18" s="92" t="n"/>
      <c r="G18" s="92" t="n">
        <v>38795</v>
      </c>
      <c r="H18" s="93">
        <f>G18/G$31</f>
        <v/>
      </c>
      <c r="I18" s="92" t="n">
        <v>819885.5769999999</v>
      </c>
      <c r="J18" s="93">
        <f>I18/I$31</f>
        <v/>
      </c>
    </row>
    <row r="19">
      <c r="A19" s="92" t="n"/>
      <c r="B19" s="92" t="n"/>
      <c r="C19" s="92" t="n"/>
      <c r="D19" s="92" t="n"/>
      <c r="E19" s="92" t="n"/>
      <c r="F19" s="92" t="inlineStr">
        <is>
          <t>否</t>
        </is>
      </c>
      <c r="G19" s="92" t="n">
        <v>26365</v>
      </c>
      <c r="H19" s="93">
        <f>G19/G$31</f>
        <v/>
      </c>
      <c r="I19" s="92" t="n">
        <v>546017.747</v>
      </c>
      <c r="J19" s="93">
        <f>I19/I$31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12430</v>
      </c>
      <c r="H20" s="99">
        <f>G20/G$31</f>
        <v/>
      </c>
      <c r="I20" s="98" t="n">
        <v>273867.83</v>
      </c>
      <c r="J20" s="99">
        <f>I20/I$31</f>
        <v/>
      </c>
    </row>
    <row r="21">
      <c r="A21" s="96" t="n"/>
      <c r="B21" s="96" t="n"/>
      <c r="C21" s="96" t="inlineStr">
        <is>
          <t>需要组装</t>
        </is>
      </c>
      <c r="D21" s="96" t="n"/>
      <c r="E21" s="96" t="n"/>
      <c r="F21" s="96" t="n"/>
      <c r="G21" s="96" t="n">
        <v>8207</v>
      </c>
      <c r="H21" s="97">
        <f>G21/G$31</f>
        <v/>
      </c>
      <c r="I21" s="96" t="n">
        <v>154776.865</v>
      </c>
      <c r="J21" s="97">
        <f>I21/I$31</f>
        <v/>
      </c>
    </row>
    <row r="22">
      <c r="A22" s="92" t="n"/>
      <c r="B22" s="92" t="n"/>
      <c r="C22" s="92" t="n"/>
      <c r="D22" s="92" t="inlineStr">
        <is>
          <t>否</t>
        </is>
      </c>
      <c r="E22" s="92" t="n"/>
      <c r="F22" s="92" t="n"/>
      <c r="G22" s="92" t="n">
        <v>8207</v>
      </c>
      <c r="H22" s="93">
        <f>G22/G$31</f>
        <v/>
      </c>
      <c r="I22" s="92" t="n">
        <v>154776.865</v>
      </c>
      <c r="J22" s="93">
        <f>I22/I$31</f>
        <v/>
      </c>
    </row>
    <row r="23">
      <c r="A23" s="92" t="n"/>
      <c r="B23" s="92" t="n"/>
      <c r="C23" s="92" t="n"/>
      <c r="D23" s="92" t="n"/>
      <c r="E23" s="92" t="inlineStr">
        <is>
          <t>需要组装</t>
        </is>
      </c>
      <c r="F23" s="92" t="n"/>
      <c r="G23" s="92" t="n">
        <v>8207</v>
      </c>
      <c r="H23" s="93">
        <f>G23/G$31</f>
        <v/>
      </c>
      <c r="I23" s="92" t="n">
        <v>154776.865</v>
      </c>
      <c r="J23" s="93">
        <f>I23/I$31</f>
        <v/>
      </c>
    </row>
    <row r="24">
      <c r="A24" s="92" t="n"/>
      <c r="B24" s="92" t="n"/>
      <c r="C24" s="92" t="n"/>
      <c r="D24" s="92" t="n"/>
      <c r="E24" s="92" t="n"/>
      <c r="F24" s="92" t="inlineStr">
        <is>
          <t>否</t>
        </is>
      </c>
      <c r="G24" s="92" t="n">
        <v>7707</v>
      </c>
      <c r="H24" s="93">
        <f>G24/G$31</f>
        <v/>
      </c>
      <c r="I24" s="92" t="n">
        <v>145516.365</v>
      </c>
      <c r="J24" s="93">
        <f>I24/I$31</f>
        <v/>
      </c>
    </row>
    <row r="25">
      <c r="A25" s="98" t="n"/>
      <c r="B25" s="98" t="n"/>
      <c r="C25" s="98" t="n"/>
      <c r="D25" s="98" t="n"/>
      <c r="E25" s="98" t="n"/>
      <c r="F25" s="98" t="inlineStr">
        <is>
          <t>是</t>
        </is>
      </c>
      <c r="G25" s="98" t="n">
        <v>500</v>
      </c>
      <c r="H25" s="99">
        <f>G25/G$31</f>
        <v/>
      </c>
      <c r="I25" s="98" t="n">
        <v>9260.5</v>
      </c>
      <c r="J25" s="99">
        <f>I25/I$31</f>
        <v/>
      </c>
    </row>
    <row r="26">
      <c r="A26" s="94" t="n"/>
      <c r="B26" s="94" t="inlineStr">
        <is>
          <t>义乌</t>
        </is>
      </c>
      <c r="C26" s="94" t="n"/>
      <c r="D26" s="94" t="n"/>
      <c r="E26" s="94" t="n"/>
      <c r="F26" s="94" t="n"/>
      <c r="G26" s="94" t="n">
        <v>7781</v>
      </c>
      <c r="H26" s="95">
        <f>G26/G$31</f>
        <v/>
      </c>
      <c r="I26" s="94" t="n">
        <v>98670.575</v>
      </c>
      <c r="J26" s="95">
        <f>I26/I$31</f>
        <v/>
      </c>
    </row>
    <row r="27">
      <c r="A27" s="92" t="n"/>
      <c r="B27" s="92" t="n"/>
      <c r="C27" s="92" t="inlineStr">
        <is>
          <t>(空白)</t>
        </is>
      </c>
      <c r="D27" s="92" t="n"/>
      <c r="E27" s="92" t="n"/>
      <c r="F27" s="92" t="n"/>
      <c r="G27" s="92" t="n">
        <v>7781</v>
      </c>
      <c r="H27" s="93">
        <f>G27/G$31</f>
        <v/>
      </c>
      <c r="I27" s="92" t="n">
        <v>98670.575</v>
      </c>
      <c r="J27" s="93">
        <f>I27/I$31</f>
        <v/>
      </c>
    </row>
    <row r="28">
      <c r="A28" s="92" t="n"/>
      <c r="B28" s="92" t="n"/>
      <c r="C28" s="92" t="n"/>
      <c r="D28" s="92" t="inlineStr">
        <is>
          <t>(空白)</t>
        </is>
      </c>
      <c r="E28" s="92" t="n"/>
      <c r="F28" s="92" t="n"/>
      <c r="G28" s="92" t="n">
        <v>7781</v>
      </c>
      <c r="H28" s="93">
        <f>G28/G$31</f>
        <v/>
      </c>
      <c r="I28" s="92" t="n">
        <v>98670.575</v>
      </c>
      <c r="J28" s="93">
        <f>I28/I$31</f>
        <v/>
      </c>
    </row>
    <row r="29">
      <c r="A29" s="92" t="n"/>
      <c r="B29" s="92" t="n"/>
      <c r="C29" s="92" t="n"/>
      <c r="D29" s="92" t="n"/>
      <c r="E29" s="92" t="inlineStr">
        <is>
          <t>(空白)</t>
        </is>
      </c>
      <c r="F29" s="92" t="n"/>
      <c r="G29" s="92" t="n">
        <v>7781</v>
      </c>
      <c r="H29" s="93">
        <f>G29/G$31</f>
        <v/>
      </c>
      <c r="I29" s="92" t="n">
        <v>98670.575</v>
      </c>
      <c r="J29" s="93">
        <f>I29/I$31</f>
        <v/>
      </c>
    </row>
    <row r="30">
      <c r="A30" s="92" t="n"/>
      <c r="B30" s="92" t="n"/>
      <c r="C30" s="92" t="n"/>
      <c r="D30" s="92" t="n"/>
      <c r="E30" s="92" t="n"/>
      <c r="F30" s="92" t="inlineStr">
        <is>
          <t>否</t>
        </is>
      </c>
      <c r="G30" s="92" t="n">
        <v>7781</v>
      </c>
      <c r="H30" s="93">
        <f>G30/G$31</f>
        <v/>
      </c>
      <c r="I30" s="92" t="n">
        <v>98670.575</v>
      </c>
      <c r="J30" s="93">
        <f>I30/I$31</f>
        <v/>
      </c>
    </row>
    <row r="31">
      <c r="A31" s="94" t="inlineStr">
        <is>
          <t>总计</t>
        </is>
      </c>
      <c r="B31" s="94" t="n"/>
      <c r="C31" s="94" t="n"/>
      <c r="D31" s="94" t="n"/>
      <c r="E31" s="94" t="n"/>
      <c r="F31" s="94" t="n"/>
      <c r="G31" s="94" t="n">
        <v>64402</v>
      </c>
      <c r="H31" s="95">
        <f>G31/G$31</f>
        <v/>
      </c>
      <c r="I31" s="94" t="n">
        <v>1266887.44</v>
      </c>
      <c r="J31" s="95">
        <f>I31/I$31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80414</v>
      </c>
      <c r="H2" s="93">
        <f>G2/G$49</f>
        <v/>
      </c>
      <c r="I2" s="92" t="n">
        <v>1680451.76</v>
      </c>
      <c r="J2" s="93">
        <f>I2/I$49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59541</v>
      </c>
      <c r="H3" s="95">
        <f>G3/G$49</f>
        <v/>
      </c>
      <c r="I3" s="94" t="n">
        <v>1336822.7788</v>
      </c>
      <c r="J3" s="95">
        <f>I3/I$49</f>
        <v/>
      </c>
    </row>
    <row r="4">
      <c r="A4" s="92" t="n"/>
      <c r="B4" s="92" t="n"/>
      <c r="C4" s="92" t="inlineStr">
        <is>
          <t>(空白)</t>
        </is>
      </c>
      <c r="D4" s="92" t="n"/>
      <c r="E4" s="92" t="n"/>
      <c r="F4" s="92" t="n"/>
      <c r="G4" s="92" t="n">
        <v>1000</v>
      </c>
      <c r="H4" s="93">
        <f>G4/G$49</f>
        <v/>
      </c>
      <c r="I4" s="92" t="n">
        <v>14073</v>
      </c>
      <c r="J4" s="93">
        <f>I4/I$49</f>
        <v/>
      </c>
    </row>
    <row r="5">
      <c r="A5" s="92" t="n"/>
      <c r="B5" s="92" t="n"/>
      <c r="C5" s="92" t="n"/>
      <c r="D5" s="92" t="inlineStr">
        <is>
          <t>(空白)</t>
        </is>
      </c>
      <c r="E5" s="92" t="n"/>
      <c r="F5" s="92" t="n"/>
      <c r="G5" s="92" t="n">
        <v>1000</v>
      </c>
      <c r="H5" s="93">
        <f>G5/G$49</f>
        <v/>
      </c>
      <c r="I5" s="92" t="n">
        <v>14073</v>
      </c>
      <c r="J5" s="93">
        <f>I5/I$49</f>
        <v/>
      </c>
    </row>
    <row r="6">
      <c r="A6" s="92" t="n"/>
      <c r="B6" s="92" t="n"/>
      <c r="C6" s="92" t="n"/>
      <c r="D6" s="92" t="n"/>
      <c r="E6" s="92" t="inlineStr">
        <is>
          <t>(空白)</t>
        </is>
      </c>
      <c r="F6" s="92" t="n"/>
      <c r="G6" s="92" t="n">
        <v>1000</v>
      </c>
      <c r="H6" s="93">
        <f>G6/G$49</f>
        <v/>
      </c>
      <c r="I6" s="92" t="n">
        <v>14073</v>
      </c>
      <c r="J6" s="93">
        <f>I6/I$49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500</v>
      </c>
      <c r="H7" s="93">
        <f>G7/G$49</f>
        <v/>
      </c>
      <c r="I7" s="92" t="n">
        <v>6750</v>
      </c>
      <c r="J7" s="93">
        <f>I7/I$49</f>
        <v/>
      </c>
    </row>
    <row r="8">
      <c r="A8" s="98" t="n"/>
      <c r="B8" s="98" t="n"/>
      <c r="C8" s="98" t="n"/>
      <c r="D8" s="98" t="n"/>
      <c r="E8" s="98" t="n"/>
      <c r="F8" s="98" t="inlineStr">
        <is>
          <t>是</t>
        </is>
      </c>
      <c r="G8" s="98" t="n">
        <v>500</v>
      </c>
      <c r="H8" s="99">
        <f>G8/G$49</f>
        <v/>
      </c>
      <c r="I8" s="98" t="n">
        <v>7323</v>
      </c>
      <c r="J8" s="99">
        <f>I8/I$49</f>
        <v/>
      </c>
    </row>
    <row r="9">
      <c r="A9" s="92" t="n"/>
      <c r="B9" s="92" t="n"/>
      <c r="C9" s="92" t="inlineStr">
        <is>
          <t>供应商不在浙江</t>
        </is>
      </c>
      <c r="D9" s="92" t="n"/>
      <c r="E9" s="92" t="n"/>
      <c r="F9" s="92" t="n"/>
      <c r="G9" s="92" t="n">
        <v>800</v>
      </c>
      <c r="H9" s="93">
        <f>G9/G$49</f>
        <v/>
      </c>
      <c r="I9" s="92" t="n">
        <v>14020.5</v>
      </c>
      <c r="J9" s="93">
        <f>I9/I$49</f>
        <v/>
      </c>
    </row>
    <row r="10">
      <c r="A10" s="92" t="n"/>
      <c r="B10" s="92" t="n"/>
      <c r="C10" s="92" t="n"/>
      <c r="D10" s="92" t="inlineStr">
        <is>
          <t>否</t>
        </is>
      </c>
      <c r="E10" s="92" t="n"/>
      <c r="F10" s="92" t="n"/>
      <c r="G10" s="92" t="n">
        <v>800</v>
      </c>
      <c r="H10" s="93">
        <f>G10/G$49</f>
        <v/>
      </c>
      <c r="I10" s="92" t="n">
        <v>14020.5</v>
      </c>
      <c r="J10" s="93">
        <f>I10/I$49</f>
        <v/>
      </c>
    </row>
    <row r="11">
      <c r="A11" s="92" t="n"/>
      <c r="B11" s="92" t="n"/>
      <c r="C11" s="92" t="n"/>
      <c r="D11" s="92" t="n"/>
      <c r="E11" s="92" t="inlineStr">
        <is>
          <t>供应商不在浙江</t>
        </is>
      </c>
      <c r="F11" s="92" t="n"/>
      <c r="G11" s="92" t="n">
        <v>800</v>
      </c>
      <c r="H11" s="93">
        <f>G11/G$49</f>
        <v/>
      </c>
      <c r="I11" s="92" t="n">
        <v>14020.5</v>
      </c>
      <c r="J11" s="93">
        <f>I11/I$49</f>
        <v/>
      </c>
    </row>
    <row r="12">
      <c r="A12" s="98" t="n"/>
      <c r="B12" s="98" t="n"/>
      <c r="C12" s="98" t="n"/>
      <c r="D12" s="98" t="n"/>
      <c r="E12" s="98" t="n"/>
      <c r="F12" s="98" t="inlineStr">
        <is>
          <t>是</t>
        </is>
      </c>
      <c r="G12" s="98" t="n">
        <v>800</v>
      </c>
      <c r="H12" s="99">
        <f>G12/G$49</f>
        <v/>
      </c>
      <c r="I12" s="98" t="n">
        <v>14020.5</v>
      </c>
      <c r="J12" s="99">
        <f>I12/I$49</f>
        <v/>
      </c>
    </row>
    <row r="13">
      <c r="A13" s="96" t="n"/>
      <c r="B13" s="96" t="n"/>
      <c r="C13" s="96" t="inlineStr">
        <is>
          <t>供应商在广东</t>
        </is>
      </c>
      <c r="D13" s="96" t="n"/>
      <c r="E13" s="96" t="n"/>
      <c r="F13" s="96" t="n"/>
      <c r="G13" s="96" t="n">
        <v>4070</v>
      </c>
      <c r="H13" s="97">
        <f>G13/G$49</f>
        <v/>
      </c>
      <c r="I13" s="96" t="n">
        <v>107838.286</v>
      </c>
      <c r="J13" s="97">
        <f>I13/I$49</f>
        <v/>
      </c>
    </row>
    <row r="14">
      <c r="A14" s="92" t="n"/>
      <c r="B14" s="92" t="n"/>
      <c r="C14" s="92" t="n"/>
      <c r="D14" s="92" t="inlineStr">
        <is>
          <t>否</t>
        </is>
      </c>
      <c r="E14" s="92" t="n"/>
      <c r="F14" s="92" t="n"/>
      <c r="G14" s="92" t="n">
        <v>4070</v>
      </c>
      <c r="H14" s="93">
        <f>G14/G$49</f>
        <v/>
      </c>
      <c r="I14" s="92" t="n">
        <v>107838.286</v>
      </c>
      <c r="J14" s="93">
        <f>I14/I$49</f>
        <v/>
      </c>
    </row>
    <row r="15">
      <c r="A15" s="92" t="n"/>
      <c r="B15" s="92" t="n"/>
      <c r="C15" s="92" t="n"/>
      <c r="D15" s="92" t="n"/>
      <c r="E15" s="92" t="inlineStr">
        <is>
          <t>供应商在广东</t>
        </is>
      </c>
      <c r="F15" s="92" t="n"/>
      <c r="G15" s="92" t="n">
        <v>4070</v>
      </c>
      <c r="H15" s="93">
        <f>G15/G$49</f>
        <v/>
      </c>
      <c r="I15" s="92" t="n">
        <v>107838.286</v>
      </c>
      <c r="J15" s="93">
        <f>I15/I$49</f>
        <v/>
      </c>
    </row>
    <row r="16">
      <c r="A16" s="98" t="n"/>
      <c r="B16" s="98" t="n"/>
      <c r="C16" s="98" t="n"/>
      <c r="D16" s="98" t="n"/>
      <c r="E16" s="98" t="n"/>
      <c r="F16" s="98" t="inlineStr">
        <is>
          <t>是</t>
        </is>
      </c>
      <c r="G16" s="98" t="n">
        <v>4070</v>
      </c>
      <c r="H16" s="99">
        <f>G16/G$49</f>
        <v/>
      </c>
      <c r="I16" s="98" t="n">
        <v>107838.286</v>
      </c>
      <c r="J16" s="99">
        <f>I16/I$49</f>
        <v/>
      </c>
    </row>
    <row r="17">
      <c r="A17" s="92" t="n"/>
      <c r="B17" s="92" t="n"/>
      <c r="C17" s="92" t="inlineStr">
        <is>
          <t>容易出次品</t>
        </is>
      </c>
      <c r="D17" s="92" t="n"/>
      <c r="E17" s="92" t="n"/>
      <c r="F17" s="92" t="n"/>
      <c r="G17" s="92" t="n">
        <v>800</v>
      </c>
      <c r="H17" s="93">
        <f>G17/G$49</f>
        <v/>
      </c>
      <c r="I17" s="92" t="n">
        <v>16026</v>
      </c>
      <c r="J17" s="93">
        <f>I17/I$49</f>
        <v/>
      </c>
    </row>
    <row r="18">
      <c r="A18" s="92" t="n"/>
      <c r="B18" s="92" t="n"/>
      <c r="C18" s="92" t="n"/>
      <c r="D18" s="92" t="inlineStr">
        <is>
          <t>否</t>
        </is>
      </c>
      <c r="E18" s="92" t="n"/>
      <c r="F18" s="92" t="n"/>
      <c r="G18" s="92" t="n">
        <v>800</v>
      </c>
      <c r="H18" s="93">
        <f>G18/G$49</f>
        <v/>
      </c>
      <c r="I18" s="92" t="n">
        <v>16026</v>
      </c>
      <c r="J18" s="93">
        <f>I18/I$49</f>
        <v/>
      </c>
    </row>
    <row r="19">
      <c r="A19" s="92" t="n"/>
      <c r="B19" s="92" t="n"/>
      <c r="C19" s="92" t="n"/>
      <c r="D19" s="92" t="n"/>
      <c r="E19" s="92" t="inlineStr">
        <is>
          <t>容易出次品</t>
        </is>
      </c>
      <c r="F19" s="92" t="n"/>
      <c r="G19" s="92" t="n">
        <v>800</v>
      </c>
      <c r="H19" s="93">
        <f>G19/G$49</f>
        <v/>
      </c>
      <c r="I19" s="92" t="n">
        <v>16026</v>
      </c>
      <c r="J19" s="93">
        <f>I19/I$49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800</v>
      </c>
      <c r="H20" s="99">
        <f>G20/G$49</f>
        <v/>
      </c>
      <c r="I20" s="98" t="n">
        <v>16026</v>
      </c>
      <c r="J20" s="99">
        <f>I20/I$49</f>
        <v/>
      </c>
    </row>
    <row r="21">
      <c r="A21" s="92" t="n"/>
      <c r="B21" s="92" t="n"/>
      <c r="C21" s="92" t="inlineStr">
        <is>
          <t>质检排不下</t>
        </is>
      </c>
      <c r="D21" s="92" t="n"/>
      <c r="E21" s="92" t="n"/>
      <c r="F21" s="92" t="n"/>
      <c r="G21" s="92" t="n">
        <v>200</v>
      </c>
      <c r="H21" s="93">
        <f>G21/G$49</f>
        <v/>
      </c>
      <c r="I21" s="92" t="n">
        <v>3266</v>
      </c>
      <c r="J21" s="93">
        <f>I21/I$49</f>
        <v/>
      </c>
    </row>
    <row r="22">
      <c r="A22" s="92" t="n"/>
      <c r="B22" s="92" t="n"/>
      <c r="C22" s="92" t="n"/>
      <c r="D22" s="92" t="inlineStr">
        <is>
          <t>是</t>
        </is>
      </c>
      <c r="E22" s="92" t="n"/>
      <c r="F22" s="92" t="n"/>
      <c r="G22" s="92" t="n">
        <v>200</v>
      </c>
      <c r="H22" s="93">
        <f>G22/G$49</f>
        <v/>
      </c>
      <c r="I22" s="92" t="n">
        <v>3266</v>
      </c>
      <c r="J22" s="93">
        <f>I22/I$49</f>
        <v/>
      </c>
    </row>
    <row r="23">
      <c r="A23" s="92" t="n"/>
      <c r="B23" s="92" t="n"/>
      <c r="C23" s="92" t="n"/>
      <c r="D23" s="92" t="n"/>
      <c r="E23" s="92" t="inlineStr">
        <is>
          <t>(空白)</t>
        </is>
      </c>
      <c r="F23" s="92" t="n"/>
      <c r="G23" s="92" t="n">
        <v>200</v>
      </c>
      <c r="H23" s="93">
        <f>G23/G$49</f>
        <v/>
      </c>
      <c r="I23" s="92" t="n">
        <v>3266</v>
      </c>
      <c r="J23" s="93">
        <f>I23/I$49</f>
        <v/>
      </c>
    </row>
    <row r="24">
      <c r="A24" s="98" t="n"/>
      <c r="B24" s="98" t="n"/>
      <c r="C24" s="98" t="n"/>
      <c r="D24" s="98" t="n"/>
      <c r="E24" s="98" t="n"/>
      <c r="F24" s="98" t="inlineStr">
        <is>
          <t>是</t>
        </is>
      </c>
      <c r="G24" s="98" t="n">
        <v>200</v>
      </c>
      <c r="H24" s="99">
        <f>G24/G$49</f>
        <v/>
      </c>
      <c r="I24" s="98" t="n">
        <v>3266</v>
      </c>
      <c r="J24" s="99">
        <f>I24/I$49</f>
        <v/>
      </c>
    </row>
    <row r="25">
      <c r="A25" s="96" t="n"/>
      <c r="B25" s="96" t="n"/>
      <c r="C25" s="96" t="inlineStr">
        <is>
          <t>需要压缩</t>
        </is>
      </c>
      <c r="D25" s="96" t="n"/>
      <c r="E25" s="96" t="n"/>
      <c r="F25" s="96" t="n"/>
      <c r="G25" s="96" t="n">
        <v>37413</v>
      </c>
      <c r="H25" s="97">
        <f>G25/G$49</f>
        <v/>
      </c>
      <c r="I25" s="96" t="n">
        <v>818722.3153</v>
      </c>
      <c r="J25" s="97">
        <f>I25/I$49</f>
        <v/>
      </c>
    </row>
    <row r="26">
      <c r="A26" s="92" t="n"/>
      <c r="B26" s="92" t="n"/>
      <c r="C26" s="92" t="n"/>
      <c r="D26" s="92" t="inlineStr">
        <is>
          <t>(空白)</t>
        </is>
      </c>
      <c r="E26" s="92" t="n"/>
      <c r="F26" s="92" t="n"/>
      <c r="G26" s="92" t="n">
        <v>600</v>
      </c>
      <c r="H26" s="93">
        <f>G26/G$49</f>
        <v/>
      </c>
      <c r="I26" s="92" t="n">
        <v>17290.44</v>
      </c>
      <c r="J26" s="93">
        <f>I26/I$49</f>
        <v/>
      </c>
    </row>
    <row r="27">
      <c r="A27" s="92" t="n"/>
      <c r="B27" s="92" t="n"/>
      <c r="C27" s="92" t="n"/>
      <c r="D27" s="92" t="n"/>
      <c r="E27" s="92" t="inlineStr">
        <is>
          <t>需要压缩</t>
        </is>
      </c>
      <c r="F27" s="92" t="n"/>
      <c r="G27" s="92" t="n">
        <v>600</v>
      </c>
      <c r="H27" s="93">
        <f>G27/G$49</f>
        <v/>
      </c>
      <c r="I27" s="92" t="n">
        <v>17290.44</v>
      </c>
      <c r="J27" s="93">
        <f>I27/I$49</f>
        <v/>
      </c>
    </row>
    <row r="28">
      <c r="A28" s="92" t="n"/>
      <c r="B28" s="92" t="n"/>
      <c r="C28" s="92" t="n"/>
      <c r="D28" s="92" t="n"/>
      <c r="E28" s="92" t="n"/>
      <c r="F28" s="92" t="inlineStr">
        <is>
          <t>否</t>
        </is>
      </c>
      <c r="G28" s="92" t="n">
        <v>600</v>
      </c>
      <c r="H28" s="93">
        <f>G28/G$49</f>
        <v/>
      </c>
      <c r="I28" s="92" t="n">
        <v>17290.44</v>
      </c>
      <c r="J28" s="93">
        <f>I28/I$49</f>
        <v/>
      </c>
    </row>
    <row r="29">
      <c r="A29" s="92" t="n"/>
      <c r="B29" s="92" t="n"/>
      <c r="C29" s="92" t="n"/>
      <c r="D29" s="92" t="inlineStr">
        <is>
          <t>否</t>
        </is>
      </c>
      <c r="E29" s="92" t="n"/>
      <c r="F29" s="92" t="n"/>
      <c r="G29" s="92" t="n">
        <v>36813</v>
      </c>
      <c r="H29" s="93">
        <f>G29/G$49</f>
        <v/>
      </c>
      <c r="I29" s="92" t="n">
        <v>801431.8753</v>
      </c>
      <c r="J29" s="93">
        <f>I29/I$49</f>
        <v/>
      </c>
    </row>
    <row r="30">
      <c r="A30" s="92" t="n"/>
      <c r="B30" s="92" t="n"/>
      <c r="C30" s="92" t="n"/>
      <c r="D30" s="92" t="n"/>
      <c r="E30" s="92" t="inlineStr">
        <is>
          <t>需要压缩</t>
        </is>
      </c>
      <c r="F30" s="92" t="n"/>
      <c r="G30" s="92" t="n">
        <v>36813</v>
      </c>
      <c r="H30" s="93">
        <f>G30/G$49</f>
        <v/>
      </c>
      <c r="I30" s="92" t="n">
        <v>801431.8753</v>
      </c>
      <c r="J30" s="93">
        <f>I30/I$49</f>
        <v/>
      </c>
    </row>
    <row r="31">
      <c r="A31" s="92" t="n"/>
      <c r="B31" s="92" t="n"/>
      <c r="C31" s="92" t="n"/>
      <c r="D31" s="92" t="n"/>
      <c r="E31" s="92" t="n"/>
      <c r="F31" s="92" t="inlineStr">
        <is>
          <t>否</t>
        </is>
      </c>
      <c r="G31" s="92" t="n">
        <v>1800</v>
      </c>
      <c r="H31" s="93">
        <f>G31/G$49</f>
        <v/>
      </c>
      <c r="I31" s="92" t="n">
        <v>25195.45</v>
      </c>
      <c r="J31" s="93">
        <f>I31/I$49</f>
        <v/>
      </c>
    </row>
    <row r="32">
      <c r="A32" s="98" t="n"/>
      <c r="B32" s="98" t="n"/>
      <c r="C32" s="98" t="n"/>
      <c r="D32" s="98" t="n"/>
      <c r="E32" s="98" t="n"/>
      <c r="F32" s="98" t="inlineStr">
        <is>
          <t>是</t>
        </is>
      </c>
      <c r="G32" s="98" t="n">
        <v>35013</v>
      </c>
      <c r="H32" s="99">
        <f>G32/G$49</f>
        <v/>
      </c>
      <c r="I32" s="98" t="n">
        <v>776236.4253</v>
      </c>
      <c r="J32" s="99">
        <f>I32/I$49</f>
        <v/>
      </c>
    </row>
    <row r="33">
      <c r="A33" s="96" t="n"/>
      <c r="B33" s="96" t="n"/>
      <c r="C33" s="96" t="inlineStr">
        <is>
          <t>需要组装</t>
        </is>
      </c>
      <c r="D33" s="96" t="n"/>
      <c r="E33" s="96" t="n"/>
      <c r="F33" s="96" t="n"/>
      <c r="G33" s="96" t="n">
        <v>15258</v>
      </c>
      <c r="H33" s="97">
        <f>G33/G$49</f>
        <v/>
      </c>
      <c r="I33" s="96" t="n">
        <v>362876.6775</v>
      </c>
      <c r="J33" s="97">
        <f>I33/I$49</f>
        <v/>
      </c>
    </row>
    <row r="34">
      <c r="A34" s="92" t="n"/>
      <c r="B34" s="92" t="n"/>
      <c r="C34" s="92" t="n"/>
      <c r="D34" s="92" t="inlineStr">
        <is>
          <t>否</t>
        </is>
      </c>
      <c r="E34" s="92" t="n"/>
      <c r="F34" s="92" t="n"/>
      <c r="G34" s="92" t="n">
        <v>14798</v>
      </c>
      <c r="H34" s="93">
        <f>G34/G$49</f>
        <v/>
      </c>
      <c r="I34" s="92" t="n">
        <v>354228.6775</v>
      </c>
      <c r="J34" s="93">
        <f>I34/I$49</f>
        <v/>
      </c>
    </row>
    <row r="35">
      <c r="A35" s="92" t="n"/>
      <c r="B35" s="92" t="n"/>
      <c r="C35" s="92" t="n"/>
      <c r="D35" s="92" t="n"/>
      <c r="E35" s="92" t="inlineStr">
        <is>
          <t>需要压缩</t>
        </is>
      </c>
      <c r="F35" s="92" t="n"/>
      <c r="G35" s="92" t="n">
        <v>100</v>
      </c>
      <c r="H35" s="93">
        <f>G35/G$49</f>
        <v/>
      </c>
      <c r="I35" s="92" t="n">
        <v>2150</v>
      </c>
      <c r="J35" s="93">
        <f>I35/I$49</f>
        <v/>
      </c>
    </row>
    <row r="36">
      <c r="A36" s="98" t="n"/>
      <c r="B36" s="98" t="n"/>
      <c r="C36" s="98" t="n"/>
      <c r="D36" s="98" t="n"/>
      <c r="E36" s="98" t="n"/>
      <c r="F36" s="98" t="inlineStr">
        <is>
          <t>是</t>
        </is>
      </c>
      <c r="G36" s="98" t="n">
        <v>100</v>
      </c>
      <c r="H36" s="99">
        <f>G36/G$49</f>
        <v/>
      </c>
      <c r="I36" s="98" t="n">
        <v>2150</v>
      </c>
      <c r="J36" s="99">
        <f>I36/I$49</f>
        <v/>
      </c>
    </row>
    <row r="37">
      <c r="A37" s="92" t="n"/>
      <c r="B37" s="92" t="n"/>
      <c r="C37" s="92" t="n"/>
      <c r="D37" s="92" t="n"/>
      <c r="E37" s="92" t="inlineStr">
        <is>
          <t>需要组装</t>
        </is>
      </c>
      <c r="F37" s="92" t="n"/>
      <c r="G37" s="92" t="n">
        <v>14698</v>
      </c>
      <c r="H37" s="93">
        <f>G37/G$49</f>
        <v/>
      </c>
      <c r="I37" s="92" t="n">
        <v>352078.6775</v>
      </c>
      <c r="J37" s="93">
        <f>I37/I$49</f>
        <v/>
      </c>
    </row>
    <row r="38">
      <c r="A38" s="92" t="n"/>
      <c r="B38" s="92" t="n"/>
      <c r="C38" s="92" t="n"/>
      <c r="D38" s="92" t="n"/>
      <c r="E38" s="92" t="n"/>
      <c r="F38" s="92" t="inlineStr">
        <is>
          <t>否</t>
        </is>
      </c>
      <c r="G38" s="92" t="n">
        <v>1905</v>
      </c>
      <c r="H38" s="93">
        <f>G38/G$49</f>
        <v/>
      </c>
      <c r="I38" s="92" t="n">
        <v>50583.1005</v>
      </c>
      <c r="J38" s="93">
        <f>I38/I$49</f>
        <v/>
      </c>
    </row>
    <row r="39">
      <c r="A39" s="98" t="n"/>
      <c r="B39" s="98" t="n"/>
      <c r="C39" s="98" t="n"/>
      <c r="D39" s="98" t="n"/>
      <c r="E39" s="98" t="n"/>
      <c r="F39" s="98" t="inlineStr">
        <is>
          <t>是</t>
        </is>
      </c>
      <c r="G39" s="98" t="n">
        <v>12793</v>
      </c>
      <c r="H39" s="99">
        <f>G39/G$49</f>
        <v/>
      </c>
      <c r="I39" s="98" t="n">
        <v>301495.577</v>
      </c>
      <c r="J39" s="99">
        <f>I39/I$49</f>
        <v/>
      </c>
    </row>
    <row r="40">
      <c r="A40" s="92" t="n"/>
      <c r="B40" s="92" t="n"/>
      <c r="C40" s="92" t="n"/>
      <c r="D40" s="92" t="inlineStr">
        <is>
          <t>是</t>
        </is>
      </c>
      <c r="E40" s="92" t="n"/>
      <c r="F40" s="92" t="n"/>
      <c r="G40" s="92" t="n">
        <v>460</v>
      </c>
      <c r="H40" s="93">
        <f>G40/G$49</f>
        <v/>
      </c>
      <c r="I40" s="92" t="n">
        <v>8648</v>
      </c>
      <c r="J40" s="93">
        <f>I40/I$49</f>
        <v/>
      </c>
    </row>
    <row r="41">
      <c r="A41" s="92" t="n"/>
      <c r="B41" s="92" t="n"/>
      <c r="C41" s="92" t="n"/>
      <c r="D41" s="92" t="n"/>
      <c r="E41" s="92" t="inlineStr">
        <is>
          <t>(空白)</t>
        </is>
      </c>
      <c r="F41" s="92" t="n"/>
      <c r="G41" s="92" t="n">
        <v>460</v>
      </c>
      <c r="H41" s="93">
        <f>G41/G$49</f>
        <v/>
      </c>
      <c r="I41" s="92" t="n">
        <v>8648</v>
      </c>
      <c r="J41" s="93">
        <f>I41/I$49</f>
        <v/>
      </c>
    </row>
    <row r="42">
      <c r="A42" s="98" t="n"/>
      <c r="B42" s="98" t="n"/>
      <c r="C42" s="98" t="n"/>
      <c r="D42" s="98" t="n"/>
      <c r="E42" s="98" t="n"/>
      <c r="F42" s="98" t="inlineStr">
        <is>
          <t>是</t>
        </is>
      </c>
      <c r="G42" s="98" t="n">
        <v>460</v>
      </c>
      <c r="H42" s="99">
        <f>G42/G$49</f>
        <v/>
      </c>
      <c r="I42" s="98" t="n">
        <v>8648</v>
      </c>
      <c r="J42" s="99">
        <f>I42/I$49</f>
        <v/>
      </c>
    </row>
    <row r="43">
      <c r="A43" s="94" t="n"/>
      <c r="B43" s="94" t="inlineStr">
        <is>
          <t>义乌</t>
        </is>
      </c>
      <c r="C43" s="94" t="n"/>
      <c r="D43" s="94" t="n"/>
      <c r="E43" s="94" t="n"/>
      <c r="F43" s="94" t="n"/>
      <c r="G43" s="94" t="n">
        <v>20873</v>
      </c>
      <c r="H43" s="95">
        <f>G43/G$49</f>
        <v/>
      </c>
      <c r="I43" s="94" t="n">
        <v>343628.98</v>
      </c>
      <c r="J43" s="95">
        <f>I43/I$49</f>
        <v/>
      </c>
    </row>
    <row r="44">
      <c r="A44" s="92" t="n"/>
      <c r="B44" s="92" t="n"/>
      <c r="C44" s="92" t="inlineStr">
        <is>
          <t>(空白)</t>
        </is>
      </c>
      <c r="D44" s="92" t="n"/>
      <c r="E44" s="92" t="n"/>
      <c r="F44" s="92" t="n"/>
      <c r="G44" s="92" t="n">
        <v>20873</v>
      </c>
      <c r="H44" s="93">
        <f>G44/G$49</f>
        <v/>
      </c>
      <c r="I44" s="92" t="n">
        <v>343628.98</v>
      </c>
      <c r="J44" s="93">
        <f>I44/I$49</f>
        <v/>
      </c>
    </row>
    <row r="45">
      <c r="A45" s="92" t="n"/>
      <c r="B45" s="92" t="n"/>
      <c r="C45" s="92" t="n"/>
      <c r="D45" s="92" t="inlineStr">
        <is>
          <t>(空白)</t>
        </is>
      </c>
      <c r="E45" s="92" t="n"/>
      <c r="F45" s="92" t="n"/>
      <c r="G45" s="92" t="n">
        <v>20873</v>
      </c>
      <c r="H45" s="93">
        <f>G45/G$49</f>
        <v/>
      </c>
      <c r="I45" s="92" t="n">
        <v>343628.98</v>
      </c>
      <c r="J45" s="93">
        <f>I45/I$49</f>
        <v/>
      </c>
    </row>
    <row r="46">
      <c r="A46" s="92" t="n"/>
      <c r="B46" s="92" t="n"/>
      <c r="C46" s="92" t="n"/>
      <c r="D46" s="92" t="n"/>
      <c r="E46" s="92" t="inlineStr">
        <is>
          <t>(空白)</t>
        </is>
      </c>
      <c r="F46" s="92" t="n"/>
      <c r="G46" s="92" t="n">
        <v>20873</v>
      </c>
      <c r="H46" s="93">
        <f>G46/G$49</f>
        <v/>
      </c>
      <c r="I46" s="92" t="n">
        <v>343628.98</v>
      </c>
      <c r="J46" s="93">
        <f>I46/I$49</f>
        <v/>
      </c>
    </row>
    <row r="47">
      <c r="A47" s="92" t="n"/>
      <c r="B47" s="92" t="n"/>
      <c r="C47" s="92" t="n"/>
      <c r="D47" s="92" t="n"/>
      <c r="E47" s="92" t="n"/>
      <c r="F47" s="92" t="inlineStr">
        <is>
          <t>否</t>
        </is>
      </c>
      <c r="G47" s="92" t="n">
        <v>1488</v>
      </c>
      <c r="H47" s="93">
        <f>G47/G$49</f>
        <v/>
      </c>
      <c r="I47" s="92" t="n">
        <v>25582.21</v>
      </c>
      <c r="J47" s="93">
        <f>I47/I$49</f>
        <v/>
      </c>
    </row>
    <row r="48">
      <c r="A48" s="98" t="n"/>
      <c r="B48" s="98" t="n"/>
      <c r="C48" s="98" t="n"/>
      <c r="D48" s="98" t="n"/>
      <c r="E48" s="98" t="n"/>
      <c r="F48" s="98" t="inlineStr">
        <is>
          <t>是</t>
        </is>
      </c>
      <c r="G48" s="98" t="n">
        <v>19385</v>
      </c>
      <c r="H48" s="99">
        <f>G48/G$49</f>
        <v/>
      </c>
      <c r="I48" s="98" t="n">
        <v>318046.77</v>
      </c>
      <c r="J48" s="99">
        <f>I48/I$49</f>
        <v/>
      </c>
    </row>
    <row r="49">
      <c r="A49" s="94" t="inlineStr">
        <is>
          <t>总计</t>
        </is>
      </c>
      <c r="B49" s="94" t="n"/>
      <c r="C49" s="94" t="n"/>
      <c r="D49" s="94" t="n"/>
      <c r="E49" s="94" t="n"/>
      <c r="F49" s="94" t="n"/>
      <c r="G49" s="94" t="n">
        <v>80414</v>
      </c>
      <c r="H49" s="95">
        <f>G49/G$49</f>
        <v/>
      </c>
      <c r="I49" s="94" t="n">
        <v>1680451.76</v>
      </c>
      <c r="J49" s="95">
        <f>I49/I$49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2026-06-16T11:12:33Z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