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85" windowHeight="9960" firstSheet="4" activeTab="6"/>
  </bookViews>
  <sheets>
    <sheet name="25.5" sheetId="1" r:id="rId1"/>
    <sheet name="26.5" sheetId="2" r:id="rId2"/>
    <sheet name="26年出货渠道对比-Amazon" sheetId="3" r:id="rId3"/>
    <sheet name="25年、26年出货渠道对比" sheetId="4" r:id="rId4"/>
    <sheet name="25年、26年采购量和采购总额对比-三平台" sheetId="5" r:id="rId5"/>
    <sheet name="25年、26年报关占比表--Amazon" sheetId="6" r:id="rId6"/>
    <sheet name="25.5数据分析" sheetId="7" r:id="rId7"/>
    <sheet name="26.5数据分析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<sst xmlns="http://schemas.openxmlformats.org/spreadsheetml/2006/main" count="8718" uniqueCount="1977">
  <si>
    <t>计划编号</t>
  </si>
  <si>
    <t>计划状态</t>
  </si>
  <si>
    <t>创建人</t>
  </si>
  <si>
    <t>平台</t>
  </si>
  <si>
    <t>品名</t>
  </si>
  <si>
    <t>SKU</t>
  </si>
  <si>
    <t>是否为组合产品</t>
  </si>
  <si>
    <t>计划采购量</t>
  </si>
  <si>
    <t>采购员</t>
  </si>
  <si>
    <t>采购单价</t>
  </si>
  <si>
    <t>采购总额</t>
  </si>
  <si>
    <t>出货渠道</t>
  </si>
  <si>
    <t>不在义乌出的原因</t>
  </si>
  <si>
    <t>后续是否可以推进义乌出</t>
  </si>
  <si>
    <t>推进不了的原因</t>
  </si>
  <si>
    <t>是否报关</t>
  </si>
  <si>
    <t>PP250530019</t>
  </si>
  <si>
    <t>已完成</t>
  </si>
  <si>
    <t>Amazon</t>
  </si>
  <si>
    <t>80UncleKimby-PN-diy姜饼屋小吃礼物盒50个24版</t>
  </si>
  <si>
    <t>christmas-gingerbread-houses</t>
  </si>
  <si>
    <t>是</t>
  </si>
  <si>
    <t>义乌</t>
  </si>
  <si>
    <t>否</t>
  </si>
  <si>
    <t>PP250530018</t>
  </si>
  <si>
    <t>Eternity sky-FS-秋季diy相框48pcs-25版</t>
  </si>
  <si>
    <t>Autumn-elements-diy-photo-frames</t>
  </si>
  <si>
    <t>PP250530017</t>
  </si>
  <si>
    <t>temu</t>
  </si>
  <si>
    <t>90shine-JI-数字贴画4本-21版-亚希</t>
  </si>
  <si>
    <t>Four digital stickers</t>
  </si>
  <si>
    <t>广州</t>
  </si>
  <si>
    <t>temu的</t>
  </si>
  <si>
    <t>PP250530016</t>
  </si>
  <si>
    <t>数字贴画1本装-独角兽-拼p</t>
  </si>
  <si>
    <t>sticker-books-8</t>
  </si>
  <si>
    <t>PP250530015</t>
  </si>
  <si>
    <t>数字贴画1本装-美人鱼-拼p</t>
  </si>
  <si>
    <t>sticker-books-7</t>
  </si>
  <si>
    <t>PP250530014</t>
  </si>
  <si>
    <t>数字贴画1本装-鹦鹉</t>
  </si>
  <si>
    <t>sticker-books-13</t>
  </si>
  <si>
    <t>PP250530013</t>
  </si>
  <si>
    <t>数字贴画1本装-小丑鱼</t>
  </si>
  <si>
    <t>sticker-books-14</t>
  </si>
  <si>
    <t>PP250530012</t>
  </si>
  <si>
    <t>蜜蜂主题礼盒20pcs-方框盒</t>
  </si>
  <si>
    <t>Bee-Theme-Gift-Box-20pcs-B</t>
  </si>
  <si>
    <t>PP250530011</t>
  </si>
  <si>
    <t>部分采购</t>
  </si>
  <si>
    <t>Renbuzhu-CL-秋天灯笼16pcs25版</t>
  </si>
  <si>
    <t>Autumn-lanterns</t>
  </si>
  <si>
    <t>需要压缩</t>
  </si>
  <si>
    <t>PP250530009</t>
  </si>
  <si>
    <t>Eternity sky-FS-秋天稻草人diy挂饰-54个-25版</t>
  </si>
  <si>
    <t>Fall-Scarecrow-Craft</t>
  </si>
  <si>
    <t>PP250530008</t>
  </si>
  <si>
    <t>PP250530007</t>
  </si>
  <si>
    <t>待采购</t>
  </si>
  <si>
    <t>Moon Boat-EA-乳腺癌横幅螺旋挂装饰25版</t>
  </si>
  <si>
    <t>Breast-cancer-awareness-decoration</t>
  </si>
  <si>
    <t>PP250530006</t>
  </si>
  <si>
    <t>PP250530005</t>
  </si>
  <si>
    <t>80UncleKimby-PN-万圣节diy面具30pcs-25版</t>
  </si>
  <si>
    <t>Halloween-diy-Masks-Craft-Kits</t>
  </si>
  <si>
    <t>PP250530004</t>
  </si>
  <si>
    <t>PP250530003</t>
  </si>
  <si>
    <t>Tieshankao-FW-万圣节地精浴帘三个节日25版</t>
  </si>
  <si>
    <t>Halloween-Shower-Curtains-1</t>
  </si>
  <si>
    <t>PP250530002</t>
  </si>
  <si>
    <t>Tieshankao-FW-万圣节地精浴帘三个节日4件套25版</t>
  </si>
  <si>
    <t>Halloween-Shower-Curtains</t>
  </si>
  <si>
    <t>PP250530001</t>
  </si>
  <si>
    <t>luck sea-YO-年终礼物笔卡片套装30pcs25版</t>
  </si>
  <si>
    <t>Multicolor-Ballpoint-Pen-gifts</t>
  </si>
  <si>
    <t>需要组装</t>
  </si>
  <si>
    <t>PP250529026</t>
  </si>
  <si>
    <t>jollylife-JO万圣头箍血刀血围裙纹身贴组合25版</t>
  </si>
  <si>
    <t>bloodyapron-6</t>
  </si>
  <si>
    <t>PP250529025</t>
  </si>
  <si>
    <t>PP250529024</t>
  </si>
  <si>
    <t>Happynow-NS-万圣节村庄装饰65pcs 25版</t>
  </si>
  <si>
    <t>Halloween-village-decoration</t>
  </si>
  <si>
    <t>PP250529023</t>
  </si>
  <si>
    <t>PP250529022</t>
  </si>
  <si>
    <t>80UncleKimby-PN-鱼缸DIY贴纸32pcs-25版</t>
  </si>
  <si>
    <t>Fish-tank-DIY-sticker</t>
  </si>
  <si>
    <t>PP250529021</t>
  </si>
  <si>
    <t>Renbuzhu-CL-同性恋横幅螺旋挂套装-25版</t>
  </si>
  <si>
    <t>Pride-decoration</t>
  </si>
  <si>
    <t>PP250529020</t>
  </si>
  <si>
    <t>蜜蜂主题生日皇冠-1pcs</t>
  </si>
  <si>
    <t>bee-theme-birthday-crown-1pcs</t>
  </si>
  <si>
    <t>PP250529019</t>
  </si>
  <si>
    <t>Renbuzhu-CL-开学季蜡笔窗帘25版</t>
  </si>
  <si>
    <t>back-to-school-crayon-curtains</t>
  </si>
  <si>
    <t>PP250529018</t>
  </si>
  <si>
    <t>亡灵节糖骷髅混装挂饰-6pcs组合-拼p</t>
  </si>
  <si>
    <t>Day-of-the-Dead-Sugar-Skull-Mix-Pendant-6pcs-4</t>
  </si>
  <si>
    <t>PP250529017</t>
  </si>
  <si>
    <t>圣诞节连线珠10pcs-白色款-拼p</t>
  </si>
  <si>
    <t>Christmas-Wire-beads-10pcs-White-style</t>
  </si>
  <si>
    <t>PP250529016</t>
  </si>
  <si>
    <t>圣诞节连线珠10pcs-玫瑰金款-拼p</t>
  </si>
  <si>
    <t>Christmas-Wire-Beads-10pcs-Rose-gold-style</t>
  </si>
  <si>
    <t>PP250529015</t>
  </si>
  <si>
    <t>Eternity sky-FS-万圣节diy卡通皇冠-25版</t>
  </si>
  <si>
    <t>Halloween-diy-cartoon-crown</t>
  </si>
  <si>
    <t>PP250529014</t>
  </si>
  <si>
    <t>PP250529013</t>
  </si>
  <si>
    <t>80UncleKimby-PN-风车涂色diy60个25版</t>
  </si>
  <si>
    <t>DIY-Craft-Pinwheels</t>
  </si>
  <si>
    <t>PP250529012</t>
  </si>
  <si>
    <t>Eternity sky-FS-感恩节diy火鸡相框36pcs-25版</t>
  </si>
  <si>
    <t>Thanksgiving-diy-Turkey-photo-frames</t>
  </si>
  <si>
    <t>PP250529011</t>
  </si>
  <si>
    <t>PP250529010</t>
  </si>
  <si>
    <t>Moon Boat-EA-24个装花环+9对手环+18个头夹-23版-亚拼</t>
  </si>
  <si>
    <t>Luauleis-5</t>
  </si>
  <si>
    <t>PP250529008</t>
  </si>
  <si>
    <t>Happynow-NS-冰雪奇缘蛋糕架2个25版</t>
  </si>
  <si>
    <t>frozen-Cardboard-Cupcke-Stands</t>
  </si>
  <si>
    <t>PP250529007</t>
  </si>
  <si>
    <t>Freesdai-DZ-彩色DIY刮刮卡135pcs-25版</t>
  </si>
  <si>
    <t>Color-DIY-scratch-cards</t>
  </si>
  <si>
    <t>供应商不在浙江</t>
  </si>
  <si>
    <t>PP250529006</t>
  </si>
  <si>
    <t>Yen Jean-HB-秋天尤加利叶人造花束10只装23版</t>
  </si>
  <si>
    <t>fall-eucalyptus-stems</t>
  </si>
  <si>
    <t>PP250529005</t>
  </si>
  <si>
    <t>Eternity sky-FS-秋季彩虹刮纸64pcs-25版</t>
  </si>
  <si>
    <t>Fall-Rainbow-Scratch-Paper-Crafts</t>
  </si>
  <si>
    <t>PP250529004</t>
  </si>
  <si>
    <t>Moon Boat-EA-感恩节座位感恩卡220pcs-25版</t>
  </si>
  <si>
    <t>Thanksgiving-Table-Cards</t>
  </si>
  <si>
    <t>PP250529003</t>
  </si>
  <si>
    <t>PP250529002</t>
  </si>
  <si>
    <t>Renbuzhu-CL-宗教十字架捕光器40个25版</t>
  </si>
  <si>
    <t>Religious-Cross-Crafts</t>
  </si>
  <si>
    <t>PP250529001</t>
  </si>
  <si>
    <t>Renbuzhu-CL-宗教油灯捕光器40个25版</t>
  </si>
  <si>
    <t>Jesus-Light-Crafts</t>
  </si>
  <si>
    <t>PP250528011</t>
  </si>
  <si>
    <t>Renbuzhu-CL-万圣节幽灵灯笼8pcs-25版</t>
  </si>
  <si>
    <t>Halloween-ghost-lanterns</t>
  </si>
  <si>
    <t>PP250528010</t>
  </si>
  <si>
    <t>Yen Jean-HB-亡灵节骷髅挂饰24版</t>
  </si>
  <si>
    <t>Hanging-Sugar-Skull-decors</t>
  </si>
  <si>
    <t>PP250528008</t>
  </si>
  <si>
    <t>PP250528007</t>
  </si>
  <si>
    <t>Renbuzhu-CL-万圣节黑色装饰蜡烛36pcs24版</t>
  </si>
  <si>
    <t>Halloween-Candles-5</t>
  </si>
  <si>
    <t>PP250528006</t>
  </si>
  <si>
    <t>Renbuzhu-CL-万圣节黑色装饰蜡烛24pcs23版-亚拼</t>
  </si>
  <si>
    <t>Halloween-Candles</t>
  </si>
  <si>
    <t>PP250528005</t>
  </si>
  <si>
    <t>Renbuzhu-CL-长款万圣节黑色蜡烛24pcs24版</t>
  </si>
  <si>
    <t>Halloween-Candles-10</t>
  </si>
  <si>
    <t>容易出次品</t>
  </si>
  <si>
    <t>PP250528004</t>
  </si>
  <si>
    <t>Jpfezry-BV-万圣节厨房毛巾6条装-24版</t>
  </si>
  <si>
    <t>Halloween-Kitchen-Towels</t>
  </si>
  <si>
    <t>PP250528003</t>
  </si>
  <si>
    <t>Freesdai-DZ-万圣节电影夜小吃盒36pcs-25版</t>
  </si>
  <si>
    <t>Halloween-movie-night-snack-box</t>
  </si>
  <si>
    <t>PP250528002</t>
  </si>
  <si>
    <t>PP250528001</t>
  </si>
  <si>
    <t>Moon Boat-EA枫叶1100片 20版-亚拼希</t>
  </si>
  <si>
    <t>2I-YB94-DBTU-</t>
  </si>
  <si>
    <t>PP250527030</t>
  </si>
  <si>
    <t>Jollylife-JO--36个装花环+8个头环+8对手环-23版*亚拼</t>
  </si>
  <si>
    <t>3D-BO4H-UPNU-0</t>
  </si>
  <si>
    <t>PP250527029</t>
  </si>
  <si>
    <t>Moon Boat-EA-大尺寸枫叶59片24版</t>
  </si>
  <si>
    <t>large-maples-3</t>
  </si>
  <si>
    <t>PP250527027</t>
  </si>
  <si>
    <t>Renbuzhu-CL-开学季通行证12pcs25版</t>
  </si>
  <si>
    <t>hall-passes-for-classrooms</t>
  </si>
  <si>
    <t>PP250527026</t>
  </si>
  <si>
    <t>Moon Boat-EA-火鸡飞镖投掷玩具2pcs-25版</t>
  </si>
  <si>
    <t>Thanksgiving-Games-Turkey-Dart-Boards</t>
  </si>
  <si>
    <t>PP250527025</t>
  </si>
  <si>
    <t>Tieshankao-FW-绿色婚礼手持扇子50pcs-25版</t>
  </si>
  <si>
    <t>Wedding-Fans</t>
  </si>
  <si>
    <t>PP250527024</t>
  </si>
  <si>
    <t>Tieshankao-FW-亚麻色婚礼手持扇子50pcs-25版</t>
  </si>
  <si>
    <t>Wedding-Fans-1</t>
  </si>
  <si>
    <t>PP250527023</t>
  </si>
  <si>
    <t>PP250527022</t>
  </si>
  <si>
    <t>Eternity sky-FS-万圣节钻石贴画冰箱贴荧光款40pcs-25版</t>
  </si>
  <si>
    <t>Halloween-Diamond-Painting</t>
  </si>
  <si>
    <t>PP250527021</t>
  </si>
  <si>
    <t>PP250527020</t>
  </si>
  <si>
    <t>Moon Boat-EA-万圣节房子diy挂饰60个装 25版</t>
  </si>
  <si>
    <t>Halloween-House-Craft</t>
  </si>
  <si>
    <t>PP250527019</t>
  </si>
  <si>
    <t>PP250527015</t>
  </si>
  <si>
    <t>4PCS地中海柠檬花盒</t>
  </si>
  <si>
    <t>4pcs-lemon-flower-boxes</t>
  </si>
  <si>
    <t>PP250527014</t>
  </si>
  <si>
    <t>迪斯科拍照道具-20pcs-拼p</t>
  </si>
  <si>
    <t>Disco-photo-prop-20pcs-1</t>
  </si>
  <si>
    <t>PP250527013</t>
  </si>
  <si>
    <t>数字贴画1本装-袋鼠-拼p</t>
  </si>
  <si>
    <t>sticker-books-10</t>
  </si>
  <si>
    <t>PP250527012</t>
  </si>
  <si>
    <t>数字贴画1本装-霸王龙-拼p</t>
  </si>
  <si>
    <t>sticker-books-11</t>
  </si>
  <si>
    <t>PP250527011</t>
  </si>
  <si>
    <t>90shine-JI-夏天数字贴画2本-25版</t>
  </si>
  <si>
    <t>summer-sticker-paint-book</t>
  </si>
  <si>
    <t>PP250527010</t>
  </si>
  <si>
    <t>Renbuzhu-CL-万圣节眼球LED纸灯笼16pcs25版</t>
  </si>
  <si>
    <t>Halloween-Eyeball-Paper-Lanterns</t>
  </si>
  <si>
    <t>PP250527009</t>
  </si>
  <si>
    <t>PP250527008</t>
  </si>
  <si>
    <t>木制DIY钥匙扣12pcs-海洋动物款</t>
  </si>
  <si>
    <t>Wooden-DIY-keychains-12pcs-Sea-animal</t>
  </si>
  <si>
    <t>PP250527007</t>
  </si>
  <si>
    <t>Geefuun-Ge-夏季泳池小吃盒50pcs25版</t>
  </si>
  <si>
    <t>pool-paper-food-trays</t>
  </si>
  <si>
    <t>PP250527006</t>
  </si>
  <si>
    <t>geefuun-GE-黑色万圣节骷髅小吃盒50个24版</t>
  </si>
  <si>
    <t>halloween-paper-food-trays</t>
  </si>
  <si>
    <t>PP250527005</t>
  </si>
  <si>
    <t>Geefuun-Ge-国庆节小吃盒-50pcs-25版</t>
  </si>
  <si>
    <t>American-Flag-Paper-Food-Trays</t>
  </si>
  <si>
    <t>PP250527004</t>
  </si>
  <si>
    <t>Freesdai-DZ-毕业礼物套装24pcs-25版</t>
  </si>
  <si>
    <t>Graduation-gift-set</t>
  </si>
  <si>
    <t>PP250527003</t>
  </si>
  <si>
    <t>Freesdai-DZ-万圣节荧光骷髅围裙25版</t>
  </si>
  <si>
    <t>skull-apron</t>
  </si>
  <si>
    <t>PP250527002</t>
  </si>
  <si>
    <t>PP250527001</t>
  </si>
  <si>
    <t>80UncleKimby-PN-万圣节海底世界后备箱装饰-25版</t>
  </si>
  <si>
    <t>car-decorations-under-the-Sea</t>
  </si>
  <si>
    <t>PP250526015</t>
  </si>
  <si>
    <t>jit</t>
  </si>
  <si>
    <t>JIT纯白带手柄马克杯-9.5-8.2cm-含白盒泡沫印刷-荣腾</t>
  </si>
  <si>
    <t>JIT-Pure-white-mug-with-handle-1pcs</t>
  </si>
  <si>
    <t>jit的</t>
  </si>
  <si>
    <t>PP250526014</t>
  </si>
  <si>
    <t>串珠硅胶模具6pcs-六个款式-拼p</t>
  </si>
  <si>
    <t>Beaded-silicone-mold-6pcs-six-styles</t>
  </si>
  <si>
    <t>PP250526013</t>
  </si>
  <si>
    <t>沙滩微观场景装饰套装13pcs-拼p</t>
  </si>
  <si>
    <t>Beach-micro-scene-decoration-set</t>
  </si>
  <si>
    <t>PP250526012</t>
  </si>
  <si>
    <t>90shine-JI-太空&amp;恐龙数字贴画2本24版</t>
  </si>
  <si>
    <t>Four-digital-stickers-6</t>
  </si>
  <si>
    <t>PP250526011</t>
  </si>
  <si>
    <t>夏威夷彩旗横幅-36pcs</t>
  </si>
  <si>
    <t>Hawaiian-flag-banner-36pcs</t>
  </si>
  <si>
    <t>PP250526010</t>
  </si>
  <si>
    <t>Moon Boat-EA万圣节套装-20版-亚拼</t>
  </si>
  <si>
    <t>Halloween Party Decoration-01-5</t>
  </si>
  <si>
    <t>PP250526009</t>
  </si>
  <si>
    <t>Moon Boat-EA-紫色万圣节生日派对24版</t>
  </si>
  <si>
    <t>halloween-birthday-party-decorations</t>
  </si>
  <si>
    <t>PP250526008</t>
  </si>
  <si>
    <t>Renbuzhu-CL-黑色积极本子24本24版</t>
  </si>
  <si>
    <t>Inspirational-Notepads</t>
  </si>
  <si>
    <t>PP250526005</t>
  </si>
  <si>
    <t>luck sea-YO-开学季糖果袋36pcs25版</t>
  </si>
  <si>
    <t>Back-to-school-goodie-bag</t>
  </si>
  <si>
    <t>PP250526004</t>
  </si>
  <si>
    <t>Renbuzhu-CL-铅笔形教师礼品袋27pcs-25版</t>
  </si>
  <si>
    <t>Pencil-Shaped-Teacher-Gift-Bags</t>
  </si>
  <si>
    <t>PP250526003</t>
  </si>
  <si>
    <t>jollylife-JO-12条装草裙+6对手环-20版</t>
  </si>
  <si>
    <t>8luauskirts</t>
  </si>
  <si>
    <t>PP250526001</t>
  </si>
  <si>
    <t>90shine-JI-开学季文具磁贴61pcs-25版</t>
  </si>
  <si>
    <t>Back-to-school-stationery-magnets</t>
  </si>
  <si>
    <t>PP250524002</t>
  </si>
  <si>
    <t>Geefuun-Ge-返校季铅笔苹果纸碟套装50pcs-25版</t>
  </si>
  <si>
    <t>Back-to-school-pencil-Apple-paper-plate-set</t>
  </si>
  <si>
    <t>PP250524001</t>
  </si>
  <si>
    <t>Yen Jean-HB-剪洞万圣节纱布蜘蛛网24版</t>
  </si>
  <si>
    <t>Halloween-Gauze-Spider-Web-30</t>
  </si>
  <si>
    <t>PP250523015</t>
  </si>
  <si>
    <t>Moon Boat-EA-冬季企鹅贴纸60张25版</t>
  </si>
  <si>
    <t>penguin-stickers</t>
  </si>
  <si>
    <t>思奇休息</t>
  </si>
  <si>
    <t>PP250523014</t>
  </si>
  <si>
    <t>Moon Boat-EA-乳腺癌宣传手环144pcs-25版</t>
  </si>
  <si>
    <t>Breast-Cancer-Awareness-Bracelet</t>
  </si>
  <si>
    <t>PP250523013</t>
  </si>
  <si>
    <t>PP250523012</t>
  </si>
  <si>
    <t>黑白格派对纸盘-50pcs-拼p</t>
  </si>
  <si>
    <t>Black-and-white-checked-party-plates-50pcs</t>
  </si>
  <si>
    <t>PP250523011</t>
  </si>
  <si>
    <t>海洋动物拍照道具-30pcs</t>
  </si>
  <si>
    <t>Sea-animal-photography-props-30pcs</t>
  </si>
  <si>
    <t>PP250523010</t>
  </si>
  <si>
    <t>Lvdeer-TB-万圣节彩条9条-25版</t>
  </si>
  <si>
    <t>Halloween-Tinsel-Garland</t>
  </si>
  <si>
    <t>PP250523009</t>
  </si>
  <si>
    <t>PP250523008</t>
  </si>
  <si>
    <t>80UncleKimby-PN-躺尸鬼漏手23版-亚拼</t>
  </si>
  <si>
    <t>Covered-Dead-Body-</t>
  </si>
  <si>
    <t>PP250523007</t>
  </si>
  <si>
    <t>Renbuzhu-CL-家庭暴力意识月钥匙扣60pcs</t>
  </si>
  <si>
    <t>Domestic-Violence-Awareness-Month-Keychain</t>
  </si>
  <si>
    <t>PP250523006</t>
  </si>
  <si>
    <t>Yen Jean-HB-万圣节尤加利叶人造花束20只装25版</t>
  </si>
  <si>
    <t>Halloween-artificial-Eucalyptus-Bouquet</t>
  </si>
  <si>
    <t>PP250523005</t>
  </si>
  <si>
    <t>PP250523004</t>
  </si>
  <si>
    <t>Renbuzhu-CL-秋天diy钥匙扣30pcs-25版</t>
  </si>
  <si>
    <t>autumn-diy-keychains</t>
  </si>
  <si>
    <t>PP250523003</t>
  </si>
  <si>
    <t>PP250523002</t>
  </si>
  <si>
    <t>80UncleKimby-PN-夏季DIY儿童遮阳帽30pcs25版</t>
  </si>
  <si>
    <t>Sun-Visor-Foam-Hats</t>
  </si>
  <si>
    <t>PP250523001</t>
  </si>
  <si>
    <t>Yen Jean-HB-万圣节酒红色尤加利叶人造花束20只装25版</t>
  </si>
  <si>
    <t>Halloween-Artificial-Burgundy-Eucalyptus-Bouquet</t>
  </si>
  <si>
    <t>PP250522014</t>
  </si>
  <si>
    <t>Moon Boat-EA夏威夷小拍照框组合-20版</t>
  </si>
  <si>
    <t>luauframe-1</t>
  </si>
  <si>
    <t>PP250522013</t>
  </si>
  <si>
    <t>Tieshankao-FW--秋天南瓜浴帘25版</t>
  </si>
  <si>
    <t>Pumpkin-shower-curtain</t>
  </si>
  <si>
    <t>PP250522012</t>
  </si>
  <si>
    <t>PP250522009</t>
  </si>
  <si>
    <t>Renbuzhu-CL-夏天灯笼16pcs25版</t>
  </si>
  <si>
    <t>summer-lanterns</t>
  </si>
  <si>
    <t>PP250522008</t>
  </si>
  <si>
    <t>Happynow-NS-圣诞节格林奇浴帘1个装23版</t>
  </si>
  <si>
    <t>Christmas-grinch-shower-curtain</t>
  </si>
  <si>
    <t>PP250522007</t>
  </si>
  <si>
    <t>可擦写钓鱼游戏卡20pcs-无板擦</t>
  </si>
  <si>
    <t>Erasable-Fishing-Game-Cards-20pcs-No-Eraser</t>
  </si>
  <si>
    <t>PP250522006</t>
  </si>
  <si>
    <t>Geefuun-Ge-夏威夷芙蓉花小吃盒50pcs25版</t>
  </si>
  <si>
    <t>Hawaiian-hibiscus-flower-paper-food-trays</t>
  </si>
  <si>
    <t>PP250522005</t>
  </si>
  <si>
    <t>PP250522004</t>
  </si>
  <si>
    <t>Moon Boat-EA-40个花环+20个手环-20版--20版</t>
  </si>
  <si>
    <t>HawaiianLeis-1</t>
  </si>
  <si>
    <t>PP250522003</t>
  </si>
  <si>
    <t>90shine-JI-枫叶彩虹刮纸60个-24版</t>
  </si>
  <si>
    <t>magic-color-scratch-2</t>
  </si>
  <si>
    <t>PP250522002</t>
  </si>
  <si>
    <t>Moon Boat-EA-柠檬水摊横幅5条25版</t>
  </si>
  <si>
    <t>lemonade-banner-0</t>
  </si>
  <si>
    <t>PP250522001</t>
  </si>
  <si>
    <t>独立日手工编织手链-8pcs</t>
  </si>
  <si>
    <t>Independence-Day-bracelets-8pcs</t>
  </si>
  <si>
    <t>PP250521015</t>
  </si>
  <si>
    <t>Eternity sky-FS水瓶贴纸1200pcs23版-亚拼</t>
  </si>
  <si>
    <t>water-bottle-stickers</t>
  </si>
  <si>
    <t>PP250521014</t>
  </si>
  <si>
    <t>PP250521013</t>
  </si>
  <si>
    <t>Moon Boat-EA水瓶贴纸1200pcs23版-亚拼</t>
  </si>
  <si>
    <t>water-bottle-stickers-1</t>
  </si>
  <si>
    <t>PP250521012</t>
  </si>
  <si>
    <t>Renbuzhu-CL-沙滩球灯笼扇花套装14pcs25版</t>
  </si>
  <si>
    <t>Beach-lantern</t>
  </si>
  <si>
    <t>PP250521011</t>
  </si>
  <si>
    <t>PP250521010</t>
  </si>
  <si>
    <t>慕尼黑啤酒节横幅1set-手风琴款</t>
  </si>
  <si>
    <t>Oktoberfest-Banner-1set-Accordion</t>
  </si>
  <si>
    <t>PP250521009</t>
  </si>
  <si>
    <t>啤酒节纸质托盘24pcs</t>
  </si>
  <si>
    <t>Oktoberfest-paper-trays-24pcs</t>
  </si>
  <si>
    <t>PP250521007</t>
  </si>
  <si>
    <t>PP250521006</t>
  </si>
  <si>
    <t>Yen Jean-HB-南瓜尤加利叶万圣节插枝12只装24版</t>
  </si>
  <si>
    <t>Halloween-artificial-black-eucalyptus-stems-</t>
  </si>
  <si>
    <t>PP250521005</t>
  </si>
  <si>
    <t>啤酒节纸眼镜-16pcs</t>
  </si>
  <si>
    <t>Oktoberfest-paper-glasses-16pcs</t>
  </si>
  <si>
    <t>PP250521004</t>
  </si>
  <si>
    <t>Geefuun-GE-凶紫灯风向挂带灯4个24版</t>
  </si>
  <si>
    <t>Ghost-windsocks-4pcs-6</t>
  </si>
  <si>
    <t>PP250521003</t>
  </si>
  <si>
    <t>木制DIY钥匙扣24pcs-蛋糕款</t>
  </si>
  <si>
    <t>Wooden-DIY-keychain-24pcs-cake</t>
  </si>
  <si>
    <t>PP250521002</t>
  </si>
  <si>
    <t>骑士燕尾横幅1set-3m</t>
  </si>
  <si>
    <t>Knight-swallowtail-Banner-1set-3m</t>
  </si>
  <si>
    <t>PP250521001</t>
  </si>
  <si>
    <t>PP250520024</t>
  </si>
  <si>
    <t>PP250520023</t>
  </si>
  <si>
    <t>Yen Jean-HB-血迹万圣节纱布蜘蛛网24版</t>
  </si>
  <si>
    <t>Halloween-Gauze-Spider-Web-20</t>
  </si>
  <si>
    <t>PP250520022</t>
  </si>
  <si>
    <t>Yen Jean-HB-2*6米万圣节纱布蜘蛛网24版</t>
  </si>
  <si>
    <t>Halloween-Gauze-Spider-Web-10</t>
  </si>
  <si>
    <t>PP250520021</t>
  </si>
  <si>
    <t>Yen Jean-HB-2*3米万圣节纱布蜘蛛网24版</t>
  </si>
  <si>
    <t>Halloween-Gauze-Spider-Web-0</t>
  </si>
  <si>
    <t>PP250520019</t>
  </si>
  <si>
    <t>Freesdai-DZ-万圣节缝针纹身贴60pcs-25版</t>
  </si>
  <si>
    <t>Halloween-stitch-tattoo-stickers</t>
  </si>
  <si>
    <t>PP250520017</t>
  </si>
  <si>
    <t>可擦写钓鱼游戏卡31pcs-带板擦</t>
  </si>
  <si>
    <t>Erasable-Fishing-Game-Cards-31pcs-Eraser</t>
  </si>
  <si>
    <t>PP250520016</t>
  </si>
  <si>
    <t>PP250520015</t>
  </si>
  <si>
    <t>海洋动物DIY刮刮卡-12pcs</t>
  </si>
  <si>
    <t>Sea-animals-DIY-Scratch-Cards-12pcs</t>
  </si>
  <si>
    <t>PP250520014</t>
  </si>
  <si>
    <t>DIY激励内容刮刮卡60pcs-仓鼠款</t>
  </si>
  <si>
    <t>Incentive-content-Scratch-cards-60pcs-1</t>
  </si>
  <si>
    <t>PP250520013</t>
  </si>
  <si>
    <t>DIY激励内容刮刮卡60pcs-小猫款</t>
  </si>
  <si>
    <t>Incentive-content-Scratch-cards-60pcs-2</t>
  </si>
  <si>
    <t>PP250520012</t>
  </si>
  <si>
    <t>Moon Boat-EA-反家庭暴力手环144pcs-25版</t>
  </si>
  <si>
    <t>Anti-Domestic-Violence-Bracelet</t>
  </si>
  <si>
    <t>PP250520011</t>
  </si>
  <si>
    <t>PP250520010</t>
  </si>
  <si>
    <t>Geefuun-Ge-墨西哥彩色小吃盒-50pcs-25版</t>
  </si>
  <si>
    <t>Mexican-colorful-paper-food-trays</t>
  </si>
  <si>
    <t>PP250520006</t>
  </si>
  <si>
    <t>luck sea-YO-亡灵节桌布23版-亚拼</t>
  </si>
  <si>
    <t>Dia-De-Los-Muertos-Table-Runner</t>
  </si>
  <si>
    <t>PP250520005</t>
  </si>
  <si>
    <t>啤酒节螺旋挂9pcs-帽子款</t>
  </si>
  <si>
    <t>Oktoberfest-Swirl-Hanging-9pcs-hat</t>
  </si>
  <si>
    <t>PP250520004</t>
  </si>
  <si>
    <t>jollylife-JO-姜饼屋贴纸38张25版</t>
  </si>
  <si>
    <t>gingerbreadhouse-9</t>
  </si>
  <si>
    <t>PP250520003</t>
  </si>
  <si>
    <t>jollylife-JO-新姜饼屋贴纸38张25版</t>
  </si>
  <si>
    <t>gingerbreadhouse-7</t>
  </si>
  <si>
    <t>PP250520002</t>
  </si>
  <si>
    <t>啤酒节纸灯笼3pcs</t>
  </si>
  <si>
    <t>Oktoberfest-Paper-Lanterns-3pcs</t>
  </si>
  <si>
    <t>PP250520001</t>
  </si>
  <si>
    <t>冰淇淋杯钥匙扣-5pcs</t>
  </si>
  <si>
    <t>Ice-cream-cup-keychain-5pcs</t>
  </si>
  <si>
    <t>PP250519018</t>
  </si>
  <si>
    <t>90shine-JI-开学季boho黑板磁贴30pcs25版</t>
  </si>
  <si>
    <t>Back-to-school-boho-magnets</t>
  </si>
  <si>
    <t>PP250519017</t>
  </si>
  <si>
    <t>PP250519016</t>
  </si>
  <si>
    <t>PP250519015</t>
  </si>
  <si>
    <t>Moon Boat-EA-同性恋硅胶手环-144pcs-25版</t>
  </si>
  <si>
    <t>Rainbow-Gay-Pride-Wristbands</t>
  </si>
  <si>
    <t>PP250519014</t>
  </si>
  <si>
    <t>PP250519013</t>
  </si>
  <si>
    <t>Moon Boat-EA-黑白成人毕业手环144pcs-25版</t>
  </si>
  <si>
    <t>graduation-Wristbands</t>
  </si>
  <si>
    <t>PP250519012</t>
  </si>
  <si>
    <t>影子配对木制拼图-45pcs</t>
  </si>
  <si>
    <t>Shadow-Matching-Wooden-Puzzle-45pcs</t>
  </si>
  <si>
    <t>PP250519011</t>
  </si>
  <si>
    <t>Geefuun-GE-可爱黄灯风向挂饰4个24版</t>
  </si>
  <si>
    <t>Ghost-windsocks-4pcs-1</t>
  </si>
  <si>
    <t>PP250519010</t>
  </si>
  <si>
    <t>80UncleKimby-PN-万圣节带灯糖果袋手提款4个装-25版</t>
  </si>
  <si>
    <t>Halloween-Candy-Bucke-2-A</t>
  </si>
  <si>
    <t>PP250519009</t>
  </si>
  <si>
    <t>80UncleKimby-PN-万圣节带灯糖果袋手提款2个装-25版</t>
  </si>
  <si>
    <t>Halloween-Candy-Bucke-1-A</t>
  </si>
  <si>
    <t>PP250519008</t>
  </si>
  <si>
    <t>80UncleKimby-PN-万圣节带灯糖果袋背包3个装-25版</t>
  </si>
  <si>
    <t>Halloween-Candy-Bucke-3-A</t>
  </si>
  <si>
    <t>PP250519007</t>
  </si>
  <si>
    <t>生日派对21岁螺旋挂6pcs-粉色</t>
  </si>
  <si>
    <t>Birthday-party-21-Spiral-hanging-pink</t>
  </si>
  <si>
    <t>PP250519006</t>
  </si>
  <si>
    <t>生日派对21岁螺旋挂6pcs-黑色</t>
  </si>
  <si>
    <t>Birthday-party-21-Spiral-hanging-black</t>
  </si>
  <si>
    <t>PP250519005</t>
  </si>
  <si>
    <t>开学季DIY刮刮卡35pcs-苹果款</t>
  </si>
  <si>
    <t>Back-to-school-Scratch-Cards-35pcs-Apple</t>
  </si>
  <si>
    <t>PP250519004</t>
  </si>
  <si>
    <t>海洋动物泡泡贴纸-12pcs</t>
  </si>
  <si>
    <t>Marine-animal-bubble-stickers-12pcs</t>
  </si>
  <si>
    <t>PP250519003</t>
  </si>
  <si>
    <t>PP250519002</t>
  </si>
  <si>
    <t>PP250519001</t>
  </si>
  <si>
    <t>80UncleKimby-PN-国庆节爱国diy热转印贴32pcs-25版</t>
  </si>
  <si>
    <t>National-Day-patriotic-diy-heat-transfer-sticker-2</t>
  </si>
  <si>
    <t>PP250517005</t>
  </si>
  <si>
    <t>80UncleKimby-PN-红心皇后首饰装饰25版</t>
  </si>
  <si>
    <t>queen-of-hearts-accessories-0</t>
  </si>
  <si>
    <t>PP250517004</t>
  </si>
  <si>
    <t>Eternity sky-FS-亡灵节骷髅盒子36PCS-25版</t>
  </si>
  <si>
    <t>The-Day-of-the-Dead-Skull-Boxes</t>
  </si>
  <si>
    <t>PP250517003</t>
  </si>
  <si>
    <t>PP250517002</t>
  </si>
  <si>
    <t>地中海柠檬爆米花盒-12pcs</t>
  </si>
  <si>
    <t>Lemon-Popcorn-Box-12pcs</t>
  </si>
  <si>
    <t>PP250517001</t>
  </si>
  <si>
    <t>夏威夷扇花横幅套装-绿色-1set</t>
  </si>
  <si>
    <t>Hawaiian-Fan-Banner-Set-Green-1set</t>
  </si>
  <si>
    <t>PP250516019</t>
  </si>
  <si>
    <t>PP250516018</t>
  </si>
  <si>
    <t>Freesdai-DZ-黑色毕业季流苏套装36条25版</t>
  </si>
  <si>
    <t>graduation-tassel-1</t>
  </si>
  <si>
    <t>PP250516017</t>
  </si>
  <si>
    <t>PP250516015</t>
  </si>
  <si>
    <t>PP250516014</t>
  </si>
  <si>
    <t>野生动物主题面具15pcs</t>
  </si>
  <si>
    <t>Wildlife-themed-mask-15pcs</t>
  </si>
  <si>
    <t>PP250516013</t>
  </si>
  <si>
    <t>Eternity sky-FS-秋季人造悬挂花4pcs25版</t>
  </si>
  <si>
    <t>Fall-Hanging-Flowers-1</t>
  </si>
  <si>
    <t>PP250516012</t>
  </si>
  <si>
    <t>1PCS啤酒节半圆旗装饰-人物</t>
  </si>
  <si>
    <t>Oktoberfest-Pleated-Fan-Flag-1</t>
  </si>
  <si>
    <t>PP250516011</t>
  </si>
  <si>
    <t>1PCS啤酒节半圆旗装饰-徽章</t>
  </si>
  <si>
    <t>Oktoberfest-Pleated-Fan-Flag-2</t>
  </si>
  <si>
    <t>PP250516010</t>
  </si>
  <si>
    <t>1PCS啤酒节半圆旗装饰-蓝白</t>
  </si>
  <si>
    <t>Oktoberfest-Pleated-Fan-Flag-3</t>
  </si>
  <si>
    <t>PP250516009</t>
  </si>
  <si>
    <t>1PCS啤酒节半圆旗装饰-红黄</t>
  </si>
  <si>
    <t>Oktoberfest-Pleated-Fan-Flag-4</t>
  </si>
  <si>
    <t>PP250516008</t>
  </si>
  <si>
    <t>1PCS啤酒节半圆旗装饰-旗子</t>
  </si>
  <si>
    <t>Oktoberfest-Pleated-Fan-Flag-5</t>
  </si>
  <si>
    <t>PP250516007</t>
  </si>
  <si>
    <t>1PCS啤酒节半圆旗装饰-跳舞</t>
  </si>
  <si>
    <t>Oktoberfest-Pleated-Fan-Flag-6</t>
  </si>
  <si>
    <t>PP250516006</t>
  </si>
  <si>
    <t>PP250516005</t>
  </si>
  <si>
    <t>Renbuzhu-CL-苹果形教师礼品袋27pcs-25版</t>
  </si>
  <si>
    <t>Apple-Shaped-Teacher-Gift-Bags</t>
  </si>
  <si>
    <t>PP250516004</t>
  </si>
  <si>
    <t>PP250516003</t>
  </si>
  <si>
    <t>PP250516002</t>
  </si>
  <si>
    <t>Eternity sky-FS-亡灵节骷髅面具刮纸65pcs-25版</t>
  </si>
  <si>
    <t>Scratch-Masks-Skulls</t>
  </si>
  <si>
    <t>PP250516001</t>
  </si>
  <si>
    <t>Renbuzhu-CL-沙滩球纸灯笼15pcs25版</t>
  </si>
  <si>
    <t>beach-ball-lanterns</t>
  </si>
  <si>
    <t>PP250515009</t>
  </si>
  <si>
    <t>Happynow-NS-万圣节穿戴蜘蛛-橙灯-24版</t>
  </si>
  <si>
    <t>Spider-Costume-Orange</t>
  </si>
  <si>
    <t>PP250515008</t>
  </si>
  <si>
    <t>Happynow-NS-万圣节穿戴蜘蛛-紫橙灯-24版</t>
  </si>
  <si>
    <t>Spider-Costume-Purple-Orange</t>
  </si>
  <si>
    <t>PP250515007</t>
  </si>
  <si>
    <t>PP250515006</t>
  </si>
  <si>
    <t>PP250515005</t>
  </si>
  <si>
    <t>90shine-JI-火烈鸟套圈组合3个装+12EVA圈24版</t>
  </si>
  <si>
    <t>Flamingo-combination</t>
  </si>
  <si>
    <t>PP250515004</t>
  </si>
  <si>
    <t>PP250515003</t>
  </si>
  <si>
    <t>PP250515002</t>
  </si>
  <si>
    <t>Freesdai-DZ-玫瑰金告别派对套装24版</t>
  </si>
  <si>
    <t>going-away-balloons-7</t>
  </si>
  <si>
    <t>PP250515001</t>
  </si>
  <si>
    <t>PP250514017</t>
  </si>
  <si>
    <t>Renbuzhu-CL-蜡笔形教师礼品袋24pcs-25版</t>
  </si>
  <si>
    <t>Crayon-Shaped-Teacher-Gift-Bags</t>
  </si>
  <si>
    <t>PP250514016</t>
  </si>
  <si>
    <t>80UncleKimby-PN-mardi gras面具-毛毡16个25版</t>
  </si>
  <si>
    <t>mardi-gras-mask-1</t>
  </si>
  <si>
    <t>PP250514015</t>
  </si>
  <si>
    <t>80UncleKimby-PN-mardi gras面具-卡纸56个25版</t>
  </si>
  <si>
    <t>mardi-gras-mask</t>
  </si>
  <si>
    <t>PP250514014</t>
  </si>
  <si>
    <t>PP250514013</t>
  </si>
  <si>
    <t>90shine-JI-秋天数字贴画2本-24版</t>
  </si>
  <si>
    <t>Thanksgiving-sticker-paint-book</t>
  </si>
  <si>
    <t>PP250514012</t>
  </si>
  <si>
    <t>Freesdai-DZ-景点数字贴画2本24版</t>
  </si>
  <si>
    <t>Four-digital-stickers-9</t>
  </si>
  <si>
    <t>PP250514011</t>
  </si>
  <si>
    <t>PP250514010</t>
  </si>
  <si>
    <t>PP250514009</t>
  </si>
  <si>
    <t>PP250514008</t>
  </si>
  <si>
    <t>Fiesta酒杯链-12pcs-拼P</t>
  </si>
  <si>
    <t>Fiesta-cup-necklaces-12pcs</t>
  </si>
  <si>
    <t>PP250514007</t>
  </si>
  <si>
    <t>90shine-JI-啤酒节半圆旗装饰6pcs-25版</t>
  </si>
  <si>
    <t>Oktoberfest-half-circle-flag-decoration</t>
  </si>
  <si>
    <t>PP250514006</t>
  </si>
  <si>
    <t>PP250514004</t>
  </si>
  <si>
    <t>Tieshankao-FW-万圣节幽灵木板4pcs25版</t>
  </si>
  <si>
    <t>Halloween-Ghost-1</t>
  </si>
  <si>
    <t>PP250514003</t>
  </si>
  <si>
    <t>PP250514002</t>
  </si>
  <si>
    <t>PP250513009</t>
  </si>
  <si>
    <t>Freesdai-DZ-万圣节蜡笔侏儒帽10pcs-25版</t>
  </si>
  <si>
    <t>halloween-crayon-gnome-hat</t>
  </si>
  <si>
    <t>PP250513008</t>
  </si>
  <si>
    <t>PP250513007</t>
  </si>
  <si>
    <t>90shine-JI-啤酒节三角旗横幅7条24版</t>
  </si>
  <si>
    <t>oktoberfest-banners</t>
  </si>
  <si>
    <t>PP250513006</t>
  </si>
  <si>
    <t>PP250513005</t>
  </si>
  <si>
    <t>Yen Jean-HB-亡灵节带灯对联</t>
  </si>
  <si>
    <t>Day_of_the_dead_decor</t>
  </si>
  <si>
    <t>PP250513004</t>
  </si>
  <si>
    <t>PP250513003</t>
  </si>
  <si>
    <t>PP250513002</t>
  </si>
  <si>
    <t>Moon Boat-EA-西班牙裔传统月手环100pcs25版</t>
  </si>
  <si>
    <t>Heritage-Month-Bracelets</t>
  </si>
  <si>
    <t>PP250513001</t>
  </si>
  <si>
    <t>PP250512018</t>
  </si>
  <si>
    <t>12pcs墨西哥嘉年华纹身贴</t>
  </si>
  <si>
    <t>Mexican-Carnival-tattoo-stickers</t>
  </si>
  <si>
    <t>PP250512017</t>
  </si>
  <si>
    <t>耐高温双面胶-20mm*33m（0.05mm厚）</t>
  </si>
  <si>
    <t>Heat-resistant-double-sided-tape</t>
  </si>
  <si>
    <t>PP250512016</t>
  </si>
  <si>
    <t>Inwnpio-TB- 裹尸袋</t>
  </si>
  <si>
    <t>Dead_body_bag</t>
  </si>
  <si>
    <t>PP250512015</t>
  </si>
  <si>
    <t>PP250512014</t>
  </si>
  <si>
    <t>铅笔形糖果盒-卡通款-12pcs</t>
  </si>
  <si>
    <t>Pencil-Shaped-Box-A-12pcs</t>
  </si>
  <si>
    <t>PP250512013</t>
  </si>
  <si>
    <t>PP250512012</t>
  </si>
  <si>
    <t>Renbuzhu-CL-蜡笔课堂声级图灯25版</t>
  </si>
  <si>
    <t>School-Push-Light</t>
  </si>
  <si>
    <t>PP250512011</t>
  </si>
  <si>
    <t>Renbuzhu-CL-波西米亚课堂声级图灯25版</t>
  </si>
  <si>
    <t>School-Push-Light-1</t>
  </si>
  <si>
    <t>PP250512010</t>
  </si>
  <si>
    <t>Moon Boat-EA-秋季派对装饰25版</t>
  </si>
  <si>
    <t>Fall-party-decoration</t>
  </si>
  <si>
    <t>PP250512009</t>
  </si>
  <si>
    <t>PP250512008</t>
  </si>
  <si>
    <t>luck sea-YO-开学季蜡笔糖果袋36pcs25版</t>
  </si>
  <si>
    <t>Back-to-school-crayon-goodie-bag</t>
  </si>
  <si>
    <t>PP250512007</t>
  </si>
  <si>
    <t>PP250512006</t>
  </si>
  <si>
    <t>拉链躺尸鬼</t>
  </si>
  <si>
    <t>Covered-Dead-Body-B</t>
  </si>
  <si>
    <t>PP250512005</t>
  </si>
  <si>
    <t>PP250512004</t>
  </si>
  <si>
    <t>80UncleKimby-PN-亡灵节骷髅面具8个装-24版</t>
  </si>
  <si>
    <t>Day-of-the-Dead-Masks-2</t>
  </si>
  <si>
    <t>PP250512003</t>
  </si>
  <si>
    <t>luck sea-YO-员工funny pens24pcs25版-亚拼</t>
  </si>
  <si>
    <t>employee-funny-pens</t>
  </si>
  <si>
    <t>PP250512002</t>
  </si>
  <si>
    <t>Renbuzhu-CL-父亲节圣经钥匙扣55pcs25版</t>
  </si>
  <si>
    <t>Fathers-Keychains-0</t>
  </si>
  <si>
    <t>PP250510002</t>
  </si>
  <si>
    <t>Freesdai-DZ-蜡笔托特包26pcs25版</t>
  </si>
  <si>
    <t>crayon-tote-bags</t>
  </si>
  <si>
    <t>PP250510001</t>
  </si>
  <si>
    <t>PP250509026</t>
  </si>
  <si>
    <t>PP250509025</t>
  </si>
  <si>
    <t>PP250509024</t>
  </si>
  <si>
    <t>Tieshankao-FW-返校木制铅笔桌面装饰4pcs25版</t>
  </si>
  <si>
    <t>Table-Decor</t>
  </si>
  <si>
    <t>PP250509023</t>
  </si>
  <si>
    <t>PP250509022</t>
  </si>
  <si>
    <t>PP250509021</t>
  </si>
  <si>
    <t>14pcs钓鱼主题横幅</t>
  </si>
  <si>
    <t>fishing-theme-banners</t>
  </si>
  <si>
    <t>PP250509020</t>
  </si>
  <si>
    <t>10pcs夏威夷diy贴纸</t>
  </si>
  <si>
    <t>diy-Stickers-Hawaii</t>
  </si>
  <si>
    <t>PP250509019</t>
  </si>
  <si>
    <t>32pcs鱼缸diy贴纸-长款</t>
  </si>
  <si>
    <t>Fish-Tank-diy-stickers-1</t>
  </si>
  <si>
    <t>PP250509018</t>
  </si>
  <si>
    <t>32pcs职业DIY贴纸-浅色款</t>
  </si>
  <si>
    <t>professional-DIY-stickers-32pcs-1</t>
  </si>
  <si>
    <t>PP250509017</t>
  </si>
  <si>
    <t>16pcs行星DIY贴纸</t>
  </si>
  <si>
    <t>Planet-DIY-Stickers</t>
  </si>
  <si>
    <t>PP250509016</t>
  </si>
  <si>
    <t>PP250509015</t>
  </si>
  <si>
    <t>PP250509014</t>
  </si>
  <si>
    <t>PP250509013</t>
  </si>
  <si>
    <t>PP250509012</t>
  </si>
  <si>
    <t>柠檬主题横幅-字母2pcs</t>
  </si>
  <si>
    <t>Lemon-banner-2pcs</t>
  </si>
  <si>
    <t>PP250509011</t>
  </si>
  <si>
    <t>柠檬主题横幅-柠檬1pcs</t>
  </si>
  <si>
    <t>Lemon-banner-1pcs</t>
  </si>
  <si>
    <t>PP250509009</t>
  </si>
  <si>
    <t>PP250509008</t>
  </si>
  <si>
    <t>热升华汽车杯20oz-圆锥形-杉岚</t>
  </si>
  <si>
    <t>Thermal-sublimation-car-cup-3</t>
  </si>
  <si>
    <t>PP250509007</t>
  </si>
  <si>
    <t>JIT热升华汽车杯20oz-直筒形-杉岚</t>
  </si>
  <si>
    <t>Thermal-sublimation-car-cup-2</t>
  </si>
  <si>
    <t>PP250509006</t>
  </si>
  <si>
    <t>jollylife-JO-国庆节杯套23版16个装</t>
  </si>
  <si>
    <t>4th-of-July-cooler-Sleeves</t>
  </si>
  <si>
    <t>PP250509005</t>
  </si>
  <si>
    <t>16pcs蜜蜂DIY贴纸</t>
  </si>
  <si>
    <t>DIY-Bee-Stickers</t>
  </si>
  <si>
    <t>PP250509004</t>
  </si>
  <si>
    <t>PP250509003</t>
  </si>
  <si>
    <t>Lvdeer-TB-国庆节五角星彩条9条-25版</t>
  </si>
  <si>
    <t>Patriotic-Tinsel-Garland</t>
  </si>
  <si>
    <t>PP250509001</t>
  </si>
  <si>
    <t>jollylife-JO 36钻-运营版</t>
  </si>
  <si>
    <t>VG-AQXI-QQZE</t>
  </si>
  <si>
    <t>PP250508011</t>
  </si>
  <si>
    <t>70PCS蜜蜂纹身贴</t>
  </si>
  <si>
    <t>Bee-tattoo-sticker</t>
  </si>
  <si>
    <t>PP250508010</t>
  </si>
  <si>
    <t>PP250508009</t>
  </si>
  <si>
    <t>32pcs职业DIY贴纸-深色款</t>
  </si>
  <si>
    <t>professional-DIY-stickers-32pcs</t>
  </si>
  <si>
    <t>PP250508008</t>
  </si>
  <si>
    <t>Renbuzhu-CL-新年灯笼25个25版</t>
  </si>
  <si>
    <t>Chinese-new-year-lanterns</t>
  </si>
  <si>
    <t>PP250508007</t>
  </si>
  <si>
    <t>PP250508006</t>
  </si>
  <si>
    <t>jollylife-JO圣诞雪球--24版</t>
  </si>
  <si>
    <t>angle-globe-1</t>
  </si>
  <si>
    <t>PP250508005</t>
  </si>
  <si>
    <t>PP250508002</t>
  </si>
  <si>
    <t>Moon Boat-EA-国庆节手环-144pcs-25版</t>
  </si>
  <si>
    <t>Patriotic-Silicone-Bracelet</t>
  </si>
  <si>
    <t>PP250508001</t>
  </si>
  <si>
    <t>PP250507013</t>
  </si>
  <si>
    <t>jollylife-JO-姜饼屋贴纸32张24版</t>
  </si>
  <si>
    <t>gingerbreadhouse-4</t>
  </si>
  <si>
    <t>PP250507012</t>
  </si>
  <si>
    <t>Renbuzhu-CL-茶会派对装饰33pcs25版</t>
  </si>
  <si>
    <t>Tea-Party-lantern</t>
  </si>
  <si>
    <t>PP250507011</t>
  </si>
  <si>
    <t>PP250507010</t>
  </si>
  <si>
    <t>PP250507009</t>
  </si>
  <si>
    <t>PP250507008</t>
  </si>
  <si>
    <t>第一次圣餐主题祈福祝愿拉旗-拼p</t>
  </si>
  <si>
    <t>First-Eucharist-theme-blessing-blessing-flag-pulling</t>
  </si>
  <si>
    <t>PP250507007</t>
  </si>
  <si>
    <t>90shine-JI-父亲节DIY磁贴48pcs25版</t>
  </si>
  <si>
    <t>Fathers-Day-DIY-magnets</t>
  </si>
  <si>
    <t>PP250507006</t>
  </si>
  <si>
    <t>Freesdai-DZ-万圣节蜡笔长筒袜9pcs25版</t>
  </si>
  <si>
    <t>Crayon-Socks</t>
  </si>
  <si>
    <t>PP250507005</t>
  </si>
  <si>
    <t>PP250507004</t>
  </si>
  <si>
    <t>鱼尾巴diy刮刮画-48pcs</t>
  </si>
  <si>
    <t>Fish-tail-DIY-scratch-painting-48pcs</t>
  </si>
  <si>
    <t>PP250507003</t>
  </si>
  <si>
    <t>夏威夷礼盒12pcs-手提款</t>
  </si>
  <si>
    <t>Hawaii-Gift-Box-12pcs-A</t>
  </si>
  <si>
    <t>PP250507002</t>
  </si>
  <si>
    <t>Renbuzhu-CL-茶会茶壶盒子12个装25版</t>
  </si>
  <si>
    <t>Tea-Party-Flower-Boxes</t>
  </si>
  <si>
    <t>PP250507001</t>
  </si>
  <si>
    <t>PP250506012</t>
  </si>
  <si>
    <t>PP250506011</t>
  </si>
  <si>
    <t>Renbuzhu-CL-啤酒节灯笼25版</t>
  </si>
  <si>
    <t>Oktoberfest-Lanterns</t>
  </si>
  <si>
    <t>PP250506010</t>
  </si>
  <si>
    <t>PP250506009</t>
  </si>
  <si>
    <t>墨西哥嘉年华diy贴纸-16pcs</t>
  </si>
  <si>
    <t>Mexican-Fiesta-DIY-Stickers-16pcs</t>
  </si>
  <si>
    <t>PP250506008</t>
  </si>
  <si>
    <t>80UncleKimby-PN-万圣节糖果乐园后备箱装饰-25版</t>
  </si>
  <si>
    <t>car-decorations-candy-land</t>
  </si>
  <si>
    <t>PP250506007</t>
  </si>
  <si>
    <t>PP250506006</t>
  </si>
  <si>
    <t>PP250506005</t>
  </si>
  <si>
    <t>Moon Boat-EA七彩扇花组合套装主体-扇花+说明书+螺旋旗帜配件-23版</t>
  </si>
  <si>
    <t>MB-fan-06</t>
  </si>
  <si>
    <t>PP250506002</t>
  </si>
  <si>
    <t>Renbuzhu-CL-开学季蜡笔苹果蜂窝19pcs25版</t>
  </si>
  <si>
    <t>back-to-school-crayon-apple-honeycomb</t>
  </si>
  <si>
    <t>PP250506001</t>
  </si>
  <si>
    <t>柠檬剪贴簿纸-12pcs</t>
  </si>
  <si>
    <t>Lemon-Scrapbook-Paper-12pcs</t>
  </si>
  <si>
    <t>PP250505006</t>
  </si>
  <si>
    <t>Eternity sky-FS-秋天猫头鹰挂饰30个装-25版</t>
  </si>
  <si>
    <t>Fall-Owl-Ornaments</t>
  </si>
  <si>
    <t>PP250505005</t>
  </si>
  <si>
    <t>Geefuun-GE-秋天足球木板-24版</t>
  </si>
  <si>
    <t>Fall-Football-Wooden</t>
  </si>
  <si>
    <t>PP250505004</t>
  </si>
  <si>
    <t>PP250505003</t>
  </si>
  <si>
    <t>Eternity sky-FS-开学季黑色苹果刮纸60pcs25版</t>
  </si>
  <si>
    <t>magic-color-apple-scratch</t>
  </si>
  <si>
    <t>PP250505002</t>
  </si>
  <si>
    <t>PP250505001</t>
  </si>
  <si>
    <t>Moon Boat-EA夏威夷拍照道具--21版-60个</t>
  </si>
  <si>
    <t>luauphotoprops-2</t>
  </si>
  <si>
    <t>PP250504007</t>
  </si>
  <si>
    <t>PP250504006</t>
  </si>
  <si>
    <t>Renbuzhu-CL-开学季铅笔蜂窝纸套装24版</t>
  </si>
  <si>
    <t>Pencil-Honeycomb</t>
  </si>
  <si>
    <t>PP250504005</t>
  </si>
  <si>
    <t>Yen Jean-HB-情人节闪片心形插枝70只装25版</t>
  </si>
  <si>
    <t>Valentine-flashy-heart-shaped-picks</t>
  </si>
  <si>
    <t>PP250504003</t>
  </si>
  <si>
    <t>Renbuzhu-CL-开学季diy钥匙扣30pcs-25版</t>
  </si>
  <si>
    <t>back-to-school-diy-keychains</t>
  </si>
  <si>
    <t>PP250504002</t>
  </si>
  <si>
    <t>PP250504001</t>
  </si>
  <si>
    <t>PP260530014</t>
  </si>
  <si>
    <t>TEMU运营-丁子铫</t>
  </si>
  <si>
    <t>Jpfezry-BV-排球项链套装26版</t>
  </si>
  <si>
    <t>Volleyball-necklace</t>
  </si>
  <si>
    <t>27.8200</t>
  </si>
  <si>
    <t>PP260530013</t>
  </si>
  <si>
    <t>Jpfezry-BV-排球宗教手链套装26版</t>
  </si>
  <si>
    <t>Volleyball-religious-bracelet</t>
  </si>
  <si>
    <t>29.8148</t>
  </si>
  <si>
    <t>PP260530012</t>
  </si>
  <si>
    <t>运营-李柳娟</t>
  </si>
  <si>
    <t>采购部-辛苑婷</t>
  </si>
  <si>
    <t>PP260530011</t>
  </si>
  <si>
    <t>PP260530010</t>
  </si>
  <si>
    <t>luck sea-YO-开学季蜡笔翻转姓名棒51pcs26版</t>
  </si>
  <si>
    <t>Back-to-School-crayon-Flip-Name-Sticks</t>
  </si>
  <si>
    <t>采购部-李艳玲</t>
  </si>
  <si>
    <t>16.8650</t>
  </si>
  <si>
    <t>PP260530009</t>
  </si>
  <si>
    <t>运营-赵玉筠</t>
  </si>
  <si>
    <t>Eternity sky-FS-蓝白圣诞节海洋插枝15只26版</t>
  </si>
  <si>
    <t>Blue-White-Christmas-Coastal-stems</t>
  </si>
  <si>
    <t>24.4450</t>
  </si>
  <si>
    <t>PP260530008</t>
  </si>
  <si>
    <t>Moon Boat-EA-秋季枫叶一次性餐垫100pcs26版</t>
  </si>
  <si>
    <t>Fall-Thanksgiving-Maple-Disposable-Placemat</t>
  </si>
  <si>
    <t>11.5000</t>
  </si>
  <si>
    <t>PP260530007</t>
  </si>
  <si>
    <t>Renbuzhu-CL-万圣节南瓜透明PVC礼品袋25pcs26版</t>
  </si>
  <si>
    <t>Halloween-Pumpkin-Clear-PVC-Gift-Bags</t>
  </si>
  <si>
    <t>19.5350</t>
  </si>
  <si>
    <t>PP260530006</t>
  </si>
  <si>
    <t>Renbuzhu-CL-粉色万圣节透明PVC礼品袋25pcs26版</t>
  </si>
  <si>
    <t>Pink-Halloween-Clear-PVC-Gift-Bags</t>
  </si>
  <si>
    <t>PP260530005</t>
  </si>
  <si>
    <t>Moon Boat-EA-夏天动物五官贴纸60pcs26版</t>
  </si>
  <si>
    <t>summer-Animal-Face-Stickers</t>
  </si>
  <si>
    <t>7.9450</t>
  </si>
  <si>
    <t>PP260530004</t>
  </si>
  <si>
    <t>90shine-JI-圣诞涂色本-雪人&amp;圣诞老人120pcs25版</t>
  </si>
  <si>
    <t>merry-Christmas-coloring-books-4</t>
  </si>
  <si>
    <t>31.8000</t>
  </si>
  <si>
    <t>PP260530003</t>
  </si>
  <si>
    <t>90shine-JI-圣诞涂色本-雪人&amp;圣诞老人100pcs25版</t>
  </si>
  <si>
    <t>merry-Christmas-coloring-books-3</t>
  </si>
  <si>
    <t>26.5000</t>
  </si>
  <si>
    <t>PP260530002</t>
  </si>
  <si>
    <t>90shine-JI-万圣节校园文具围裙26版</t>
  </si>
  <si>
    <t>Halloween-School-Stationery-Theme-Apron</t>
  </si>
  <si>
    <t>43.9050</t>
  </si>
  <si>
    <t>PP260530001</t>
  </si>
  <si>
    <t>Moon Boat-EA 国庆节项链-36条 24版</t>
  </si>
  <si>
    <t>patrioticnecklace-4</t>
  </si>
  <si>
    <t>采购部-古金萍</t>
  </si>
  <si>
    <t>24.5000</t>
  </si>
  <si>
    <t>PP260529006</t>
  </si>
  <si>
    <t>TEMU运营-陈卓君</t>
  </si>
  <si>
    <t>Renbuzhu-CL-意大利纸球套装23pcs26版</t>
  </si>
  <si>
    <t>italy-decor</t>
  </si>
  <si>
    <t>15.2550</t>
  </si>
  <si>
    <t>PP260529005</t>
  </si>
  <si>
    <t>Moon Boat-EA-boho圣经手环100pcs26版</t>
  </si>
  <si>
    <t>Bible-Verse-Bracelets-40</t>
  </si>
  <si>
    <t>22.7698</t>
  </si>
  <si>
    <t>PP260529004</t>
  </si>
  <si>
    <t>运营-李玉怡</t>
  </si>
  <si>
    <t>80UncleKimby-PN-鱼缸DIY贴纸32pcs25版</t>
  </si>
  <si>
    <t>14.8000</t>
  </si>
  <si>
    <t>PP260529003</t>
  </si>
  <si>
    <t>temu运营-李红静</t>
  </si>
  <si>
    <t>菜谱螺线圈笔记本-21cm-14.2cm-单封面+内页</t>
  </si>
  <si>
    <t>Recipe-Spiral-Notebook-1pcs</t>
  </si>
  <si>
    <t>5.0000</t>
  </si>
  <si>
    <t>PP260529002</t>
  </si>
  <si>
    <t>李永琪</t>
  </si>
  <si>
    <t>Moon Boat-EA-夏威夷高尔夫球车装饰26版</t>
  </si>
  <si>
    <t>hawaii-golf-cart-decor</t>
  </si>
  <si>
    <t>20.4600</t>
  </si>
  <si>
    <t>PP260529001</t>
  </si>
  <si>
    <t>Renbuzhu-CL-牙买加钥匙扣60pcs26版</t>
  </si>
  <si>
    <t>Jamaica-keychain</t>
  </si>
  <si>
    <t>23.3450</t>
  </si>
  <si>
    <t>PP260528013</t>
  </si>
  <si>
    <t>Tieshankao-FW-开学季课桌铭牌53pcs25版</t>
  </si>
  <si>
    <t>Student-Desk-Name-Tags</t>
  </si>
  <si>
    <t>8.4840</t>
  </si>
  <si>
    <t>PP260528012</t>
  </si>
  <si>
    <t>23.8000</t>
  </si>
  <si>
    <t>PP260528011</t>
  </si>
  <si>
    <t>Renbuzhu-CL-夏季鲨鱼捕光器48个26版</t>
  </si>
  <si>
    <t>Shark-Suncatchers-Craft</t>
  </si>
  <si>
    <t>17.4600</t>
  </si>
  <si>
    <t>PP260528010</t>
  </si>
  <si>
    <t>Renbuzhu-CL-宗教鱼捕光器48个26版</t>
  </si>
  <si>
    <t>Fish-Suncatchers-Craft</t>
  </si>
  <si>
    <t>16.9600</t>
  </si>
  <si>
    <t>PP260528009</t>
  </si>
  <si>
    <t>Renbuzhu-CL-宗教鱼和十字架捕光器48个26版</t>
  </si>
  <si>
    <t>Religious-Fish-Suncatcher-Craft</t>
  </si>
  <si>
    <t>PP260528008</t>
  </si>
  <si>
    <t>Renbuzhu-CL-宗教纯十字架捕光器48个26版</t>
  </si>
  <si>
    <t>Religious-Suncatcher-Craft</t>
  </si>
  <si>
    <t>PP260528007</t>
  </si>
  <si>
    <t>Renbuzhu-CL-浮漂鱼灯笼套装25版</t>
  </si>
  <si>
    <t>Fish-lantern</t>
  </si>
  <si>
    <t>23.0493</t>
  </si>
  <si>
    <t>PP260528006</t>
  </si>
  <si>
    <t>Tieshankao-FW-万圣节幽灵厨房地垫毛巾套装10件套26版</t>
  </si>
  <si>
    <t>Halloween-ghost-kitchen-set</t>
  </si>
  <si>
    <t>48.5460</t>
  </si>
  <si>
    <t>PP260528005</t>
  </si>
  <si>
    <t>运营-吴君怡</t>
  </si>
  <si>
    <t>PP260528004</t>
  </si>
  <si>
    <t>运营-何紫欣</t>
  </si>
  <si>
    <t>Renbuzhu-CL-夏季棕榈树捕光器48个26版</t>
  </si>
  <si>
    <t>Palm-Tree-Suncatchers-Craft</t>
  </si>
  <si>
    <t>18.9600</t>
  </si>
  <si>
    <t>PP260528003</t>
  </si>
  <si>
    <t>Moon Boat-EA-夏威夷纸眼镜60pcs25版</t>
  </si>
  <si>
    <t>Eyeglasses-decor</t>
  </si>
  <si>
    <t>21.4500</t>
  </si>
  <si>
    <t>PP260528002</t>
  </si>
  <si>
    <t>Renbuzhu-CL-夏日沙滩透明PVC礼品袋25pcs26版</t>
  </si>
  <si>
    <t>Hello-Summer-Sunny-Beach-Clear-PVC-Gift-Bags</t>
  </si>
  <si>
    <t>18.7850</t>
  </si>
  <si>
    <t>PP260528001</t>
  </si>
  <si>
    <t>JIT-铜版纸不干胶-32cm-46cm-仓库自印</t>
  </si>
  <si>
    <t>JIT-Copperplate-paper-sticker</t>
  </si>
  <si>
    <t>0.8000</t>
  </si>
  <si>
    <t>PP260527015</t>
  </si>
  <si>
    <t>PP260527014</t>
  </si>
  <si>
    <t>Moon Boat-EA-波多黎各眼镜64pcs26版</t>
  </si>
  <si>
    <t>Puerto-Rico-eyeglasses</t>
  </si>
  <si>
    <t>13.4500</t>
  </si>
  <si>
    <t>PP260527013</t>
  </si>
  <si>
    <t>Geefuun-GE-蝴蝶同性恋风向挂2个装26版</t>
  </si>
  <si>
    <t>pride-windsocks-20</t>
  </si>
  <si>
    <t>7.2160</t>
  </si>
  <si>
    <t>PP260527012</t>
  </si>
  <si>
    <t>Moon Boat-EA-波多黎各手环100pcs26版</t>
  </si>
  <si>
    <t>putreo-rico-bracelets</t>
  </si>
  <si>
    <t>28.3698</t>
  </si>
  <si>
    <t>PP260527011</t>
  </si>
  <si>
    <t>Moon Boat-EA-纸毕业季人diy相框70pcs26版</t>
  </si>
  <si>
    <t>graduate-phote-frame</t>
  </si>
  <si>
    <t>7.5450</t>
  </si>
  <si>
    <t>PP260527010</t>
  </si>
  <si>
    <t>9.0000</t>
  </si>
  <si>
    <t>PP260527009</t>
  </si>
  <si>
    <t>Renbuzhu-CL-粉色柠檬灯笼扇花套装13pcs26版</t>
  </si>
  <si>
    <t>lemon-decor-3</t>
  </si>
  <si>
    <t>16.7920</t>
  </si>
  <si>
    <t>PP260527008</t>
  </si>
  <si>
    <t>许心月</t>
  </si>
  <si>
    <t>Renbuzhu-CL-草莓小吃盒50pcs26版</t>
  </si>
  <si>
    <t>Strawberry-Food-Tray</t>
  </si>
  <si>
    <t>8.9000</t>
  </si>
  <si>
    <t>PP260527007</t>
  </si>
  <si>
    <t>Eternity sky-FS-圣诞白霜插枝12pcs25版</t>
  </si>
  <si>
    <t>Snowy-Branches-Tree-Picks</t>
  </si>
  <si>
    <t>16.2000</t>
  </si>
  <si>
    <t>PP260527006</t>
  </si>
  <si>
    <t>Eternity sky-FS-新圣诞节海洋插枝15只26版</t>
  </si>
  <si>
    <t>Christmas-Coastal-stems-5</t>
  </si>
  <si>
    <t>PP260527005</t>
  </si>
  <si>
    <t>Geefuun-GE-万圣节涂色本60本23版</t>
  </si>
  <si>
    <t>Halloween-coloring-books-1</t>
  </si>
  <si>
    <t>15.8000</t>
  </si>
  <si>
    <t>PP260527004</t>
  </si>
  <si>
    <t>6.5000</t>
  </si>
  <si>
    <t>PP260527003</t>
  </si>
  <si>
    <t>Moon Boat-EA万圣节手工贴纸70张24版</t>
  </si>
  <si>
    <t>halloween-Handmade-Halloween-Stickers-10</t>
  </si>
  <si>
    <t>8.7450</t>
  </si>
  <si>
    <t>PP260527002</t>
  </si>
  <si>
    <t>Renbuzhu-CL-太阳灯笼15个26版</t>
  </si>
  <si>
    <t>sun-lanterns</t>
  </si>
  <si>
    <t>25.3570</t>
  </si>
  <si>
    <t>PP260527001</t>
  </si>
  <si>
    <t>PP260526018</t>
  </si>
  <si>
    <t>80UncleKimby-PN-小尺寸领养小狗派对diy房子20pcs26版</t>
  </si>
  <si>
    <t>Dog-Party-Boxes-Craft-20pcs</t>
  </si>
  <si>
    <t>PP260526017</t>
  </si>
  <si>
    <t>18.3500</t>
  </si>
  <si>
    <t>PP260526016</t>
  </si>
  <si>
    <t>33.2300</t>
  </si>
  <si>
    <t>PP260526015</t>
  </si>
  <si>
    <t>luck sea-YO-粉色柠檬纱布桌旗4pcs26版</t>
  </si>
  <si>
    <t>Pink-lemon-table-runner</t>
  </si>
  <si>
    <t>32.0000</t>
  </si>
  <si>
    <t>PP260526014</t>
  </si>
  <si>
    <t>12.4170</t>
  </si>
  <si>
    <t>PP260526013</t>
  </si>
  <si>
    <t>Renbuzhu-CL-瓢虫灯笼13pcs26版</t>
  </si>
  <si>
    <t>Ladybug-lanterns</t>
  </si>
  <si>
    <t>21.1970</t>
  </si>
  <si>
    <t>PP260526012</t>
  </si>
  <si>
    <t>Tieshankao-FW-木质粉黄柠檬圆盘纸巾架26版</t>
  </si>
  <si>
    <t>Wood-Lemon-Paper-Towel-Holder</t>
  </si>
  <si>
    <t>12.0450</t>
  </si>
  <si>
    <t>PP260526011</t>
  </si>
  <si>
    <t>Eternity sky-FS万圣节diy项链32pcs25版</t>
  </si>
  <si>
    <t>halloween-diy-necklace</t>
  </si>
  <si>
    <t>17.7051</t>
  </si>
  <si>
    <t>PP260526010</t>
  </si>
  <si>
    <t>80UncleKimby-PN-万圣节女巫鞋24版</t>
  </si>
  <si>
    <t>witch-shoes</t>
  </si>
  <si>
    <t>9.3810</t>
  </si>
  <si>
    <t>PP260526009</t>
  </si>
  <si>
    <t>12.8050</t>
  </si>
  <si>
    <t>PP260526008</t>
  </si>
  <si>
    <t>Eternity sky-FS-亡灵节DIY涂色面具36个25版</t>
  </si>
  <si>
    <t>Day-of-the-Dead-DIY-Coloring-Masks</t>
  </si>
  <si>
    <t>14.9450</t>
  </si>
  <si>
    <t>PP260526007</t>
  </si>
  <si>
    <t>Tieshankao-FW-开学季巴士派对装饰26版</t>
  </si>
  <si>
    <t>School-bus-party-decoration</t>
  </si>
  <si>
    <t>27.7800</t>
  </si>
  <si>
    <t>PP260526006</t>
  </si>
  <si>
    <t>Moon Boat-EA-农舍动物diy场景26版</t>
  </si>
  <si>
    <t>Farm-Animals-Felt-Story-Board-Set</t>
  </si>
  <si>
    <t>袁淑雯</t>
  </si>
  <si>
    <t>13.9000</t>
  </si>
  <si>
    <t>PP260526005</t>
  </si>
  <si>
    <t>Geefuun-GE-海龟风向挂2个装26版</t>
  </si>
  <si>
    <t>sea-turtle-windsocks</t>
  </si>
  <si>
    <t>8.3600</t>
  </si>
  <si>
    <t>PP260526004</t>
  </si>
  <si>
    <t>90shine-JI-秋天拼图涂色28pcs26版</t>
  </si>
  <si>
    <t>Fall-Jigsaw-Puzzles</t>
  </si>
  <si>
    <t>8.2000</t>
  </si>
  <si>
    <t>PP260526003</t>
  </si>
  <si>
    <t>PP260526002</t>
  </si>
  <si>
    <t>Renbuzhu-CL-水果纸挂帘8pcs26版</t>
  </si>
  <si>
    <t>fruits-paper-hanging</t>
  </si>
  <si>
    <t>17.0450</t>
  </si>
  <si>
    <t>PP260525020</t>
  </si>
  <si>
    <t>80UncleKimby-PN-万圣节带灯糖果袋背包3个装橙蓝绿26版</t>
  </si>
  <si>
    <t>Halloween-candy-backpack</t>
  </si>
  <si>
    <t>24.3550</t>
  </si>
  <si>
    <t>PP260525019</t>
  </si>
  <si>
    <t>80UncleKimby-PN-万圣节带灯糖果袋3个装橙粉绿26版</t>
  </si>
  <si>
    <t>Halloween-candy-bucket-pink</t>
  </si>
  <si>
    <t>15.5550</t>
  </si>
  <si>
    <t>PP260525018</t>
  </si>
  <si>
    <t>80UncleKimby-PN-万圣节带灯糖果袋3个装橙白蓝26版</t>
  </si>
  <si>
    <t>Halloween-candy-bucket-blue</t>
  </si>
  <si>
    <t>PP260525017</t>
  </si>
  <si>
    <t>80UncleKimby-PN-万圣节带灯糖果袋4个装橙白粉蓝26版</t>
  </si>
  <si>
    <t>Halloween-candy-bucket-pink-blue</t>
  </si>
  <si>
    <t>28.7550</t>
  </si>
  <si>
    <t>PP260525016</t>
  </si>
  <si>
    <t>Renbuzhu-CL-蜜蜂纸灯笼派对装饰25版</t>
  </si>
  <si>
    <t>Bee-lantern</t>
  </si>
  <si>
    <t>30.2138</t>
  </si>
  <si>
    <t>PP260525015</t>
  </si>
  <si>
    <t>luck sea-YO-圣诞指甲锉套装52pcs25版</t>
  </si>
  <si>
    <t>Christmas-Nail-Files-Set-0</t>
  </si>
  <si>
    <t>14.6460</t>
  </si>
  <si>
    <t>PP260525014</t>
  </si>
  <si>
    <t>PP260525013</t>
  </si>
  <si>
    <t>PP260525012</t>
  </si>
  <si>
    <t>PP260525011</t>
  </si>
  <si>
    <t>80UncleKimby-PN-复古mardi gras面具-毛毡16个26版</t>
  </si>
  <si>
    <t>Mardi-Gras-Mask-25</t>
  </si>
  <si>
    <t>10.3600</t>
  </si>
  <si>
    <t>PP260525010</t>
  </si>
  <si>
    <t>PP260525009</t>
  </si>
  <si>
    <t>PP260525008</t>
  </si>
  <si>
    <t>PP260525007</t>
  </si>
  <si>
    <t>Moon Boat-EA-夏季潜水人diy相框90pcs26版</t>
  </si>
  <si>
    <t>diving-photo-frame</t>
  </si>
  <si>
    <t>10.5450</t>
  </si>
  <si>
    <t>PP260525006</t>
  </si>
  <si>
    <t>80UncleKimby-PN-万圣节带灯糖果袋4个装24版</t>
  </si>
  <si>
    <t>Halloween-Bags-1</t>
  </si>
  <si>
    <t>PP260525005</t>
  </si>
  <si>
    <t>80UncleKimby-PN-万圣节带灯糖果袋2个装24版</t>
  </si>
  <si>
    <t>Halloween-Bags-2</t>
  </si>
  <si>
    <t>14.5550</t>
  </si>
  <si>
    <t>PP260525004</t>
  </si>
  <si>
    <t>80UncleKimby-PN-万圣节带灯糖果袋手提款4个装25版</t>
  </si>
  <si>
    <t>29.6549</t>
  </si>
  <si>
    <t>PP260525003</t>
  </si>
  <si>
    <t>80UncleKimby-PN-万圣节带灯糖果袋手提款2个装25版</t>
  </si>
  <si>
    <t>16.4549</t>
  </si>
  <si>
    <t>PP260525002</t>
  </si>
  <si>
    <t>80UncleKimby-PN-万圣节带灯糖果袋背包3个装25版</t>
  </si>
  <si>
    <t>25.2549</t>
  </si>
  <si>
    <t>PP260525001</t>
  </si>
  <si>
    <t>Geefuun-Ge-黄色柠檬小吃盒50pcs26版</t>
  </si>
  <si>
    <t>yellow-lemon-Paper-Food-Trays-3</t>
  </si>
  <si>
    <t>8.8450</t>
  </si>
  <si>
    <t>PP260523016</t>
  </si>
  <si>
    <t>80UncleKimby-PN-涂色夏季DIY儿童遮阳帽36pcs26版</t>
  </si>
  <si>
    <t>Colorful-Summer-DIY-Children-Sun-Hat-5</t>
  </si>
  <si>
    <t>21.6750</t>
  </si>
  <si>
    <t>PP260523015</t>
  </si>
  <si>
    <t>80UncleKimby-PN-涂色夏季DIY儿童遮阳帽48pcs26版</t>
  </si>
  <si>
    <t>Colorful-Summer-DIY-Children-Sun-Hat-7</t>
  </si>
  <si>
    <t>30.4150</t>
  </si>
  <si>
    <t>PP260523014</t>
  </si>
  <si>
    <t>Renbuzhu-CL-万圣节灯笼16pcs25版</t>
  </si>
  <si>
    <t>Halloween-lantern</t>
  </si>
  <si>
    <t>19.8301</t>
  </si>
  <si>
    <t>PP260523013</t>
  </si>
  <si>
    <t>Renbuzhu-CL-万圣节串珠DIY钥匙扣42pcs25版</t>
  </si>
  <si>
    <t>Halloween-Beads-Keychains</t>
  </si>
  <si>
    <t>25.3580</t>
  </si>
  <si>
    <t>PP260523009</t>
  </si>
  <si>
    <t>luck sea-YO-谢师周教师铅笔袋10pcs26版</t>
  </si>
  <si>
    <t>Teacher-Appreciation-Pencil-Pouch</t>
  </si>
  <si>
    <t>19.8580</t>
  </si>
  <si>
    <t>PP260523008</t>
  </si>
  <si>
    <t>90shine-JI-枫叶彩虹刮纸70个26版</t>
  </si>
  <si>
    <t>magic-color-scratch-6</t>
  </si>
  <si>
    <t>14.6450</t>
  </si>
  <si>
    <t>PP260523007</t>
  </si>
  <si>
    <t>90shine-JI-枫叶彩虹刮纸120个26版</t>
  </si>
  <si>
    <t>magic-color-scratch-9</t>
  </si>
  <si>
    <t>23.8350</t>
  </si>
  <si>
    <t>PP260523006</t>
  </si>
  <si>
    <t>PP260523005</t>
  </si>
  <si>
    <t>jollylife-JO-新姜饼屋贴纸80张26版</t>
  </si>
  <si>
    <t>gingerbreadhouse-C</t>
  </si>
  <si>
    <t>21.4450</t>
  </si>
  <si>
    <t>PP260523004</t>
  </si>
  <si>
    <t>jollylife-JO-新姜饼屋贴纸60张26版</t>
  </si>
  <si>
    <t>gingerbreadhouse-B</t>
  </si>
  <si>
    <t>16.1450</t>
  </si>
  <si>
    <t>PP260523003</t>
  </si>
  <si>
    <t>jollylife-JO-新姜饼屋贴纸40张26版</t>
  </si>
  <si>
    <t>gingerbreadhouse-A</t>
  </si>
  <si>
    <t>10.7450</t>
  </si>
  <si>
    <t>PP260523002</t>
  </si>
  <si>
    <t>Renbuzhu-CL-课堂红黄绿蓝行为挂图28pcs25版</t>
  </si>
  <si>
    <t>Mini-Flip-Chart</t>
  </si>
  <si>
    <t>12.7000</t>
  </si>
  <si>
    <t>PP260523001</t>
  </si>
  <si>
    <t>Renbuzhu-CL-宗教油灯捕光器42个26版</t>
  </si>
  <si>
    <t>Jesus-Light-Crafts-42pcs</t>
  </si>
  <si>
    <t>21.5450</t>
  </si>
  <si>
    <t>PP260522016</t>
  </si>
  <si>
    <t>Renbuzhu-CL-夏季海龟捕光器48个26版</t>
  </si>
  <si>
    <t>Turtle-Suncatcher-Craft</t>
  </si>
  <si>
    <t>17.9450</t>
  </si>
  <si>
    <t>PP260522015</t>
  </si>
  <si>
    <t>PP260522014</t>
  </si>
  <si>
    <t>Renbuzhu-CL-宗教灯泡捕光器48个26版</t>
  </si>
  <si>
    <t>Bulb-Suncatcher-Craft</t>
  </si>
  <si>
    <t>PP260522013</t>
  </si>
  <si>
    <t>Renbuzhu-CL-宗教圆形十字架捕光器48个26版</t>
  </si>
  <si>
    <t>Religious-Suncatcher-Craft-kit</t>
  </si>
  <si>
    <t>PP260522012</t>
  </si>
  <si>
    <t>Renbuzhu-CL-夏季太空捕光器48个26版</t>
  </si>
  <si>
    <t>Solar-System-Suncatchers-Craft</t>
  </si>
  <si>
    <t>PP260522011</t>
  </si>
  <si>
    <t>PP260522010</t>
  </si>
  <si>
    <t>Renbuzhu-CL-鱼缸捕光器42个26版</t>
  </si>
  <si>
    <t>Summer-Suncatcher-Kit-42pcs</t>
  </si>
  <si>
    <t>23.5450</t>
  </si>
  <si>
    <t>PP260522009</t>
  </si>
  <si>
    <t>PP260522008</t>
  </si>
  <si>
    <t>PP260522007</t>
  </si>
  <si>
    <t>PP260522006</t>
  </si>
  <si>
    <t>80UncleKimby-PN-秋天DIY花盆卡片36pcs25版</t>
  </si>
  <si>
    <t>Autumn-DIY-flowerpot-card</t>
  </si>
  <si>
    <t>12.7450</t>
  </si>
  <si>
    <t>PP260522004</t>
  </si>
  <si>
    <t>肥皂架硅胶模具-1pcs</t>
  </si>
  <si>
    <t>Soap-rack-silicone-mold-1pcs</t>
  </si>
  <si>
    <t>PP260522003</t>
  </si>
  <si>
    <t>Moon Boat-EA-80年代disco项链36条 26版</t>
  </si>
  <si>
    <t>80s-disco-necklace-36pcs</t>
  </si>
  <si>
    <t>26.0000</t>
  </si>
  <si>
    <t>PP260522002</t>
  </si>
  <si>
    <t>Moon Boat-EA-80年代disco项链72条 26版</t>
  </si>
  <si>
    <t>80s-disco-necklace-72pcs</t>
  </si>
  <si>
    <t>52.0000</t>
  </si>
  <si>
    <t>PP260522001</t>
  </si>
  <si>
    <t>Renbuzhu-CL-秋天枫叶捕光器黑框48个26版</t>
  </si>
  <si>
    <t>Fall-Leaf-Suncatchers-Craft-48pcs</t>
  </si>
  <si>
    <t>18.2600</t>
  </si>
  <si>
    <t>PP260521014</t>
  </si>
  <si>
    <t>Maqiauly-ND-圣母钥匙扣卡片套装26版</t>
  </si>
  <si>
    <t>Our-lady-keychain</t>
  </si>
  <si>
    <t>25.7290</t>
  </si>
  <si>
    <t>PP260521012</t>
  </si>
  <si>
    <t>PP260521010</t>
  </si>
  <si>
    <t>Renbuzhu-CL-咆哮主题灯纸盒子15pcs26版</t>
  </si>
  <si>
    <t>Roaring-Paper-Lantern-Boxes</t>
  </si>
  <si>
    <t>33.9450</t>
  </si>
  <si>
    <t>PP260521009</t>
  </si>
  <si>
    <t>Renbuzhu-CL-嘉年华灯笼套装14pcs26版</t>
  </si>
  <si>
    <t>Carnival-Circus-Paper-Lanterns</t>
  </si>
  <si>
    <t>21.0520</t>
  </si>
  <si>
    <t>PP260521008</t>
  </si>
  <si>
    <t>Renbuzhu-CL-粉色柠檬纸挂帘8pcs26版</t>
  </si>
  <si>
    <t>Pink-lemon-paper-hanging-5</t>
  </si>
  <si>
    <t>PP260521007</t>
  </si>
  <si>
    <t>PP260521006</t>
  </si>
  <si>
    <t>Renbuzhu-CL-开学季铅笔蜂窝纸16pcs26版</t>
  </si>
  <si>
    <t>Pencil-Apple-Honeycomb</t>
  </si>
  <si>
    <t>19.8200</t>
  </si>
  <si>
    <t>PP260521005</t>
  </si>
  <si>
    <t>Tieshankao-FW-铁制粉黄柠檬圆盘纸巾架26版</t>
  </si>
  <si>
    <t>Iron-Lemon-Paper-Towel-Holder-2</t>
  </si>
  <si>
    <t>21.0450</t>
  </si>
  <si>
    <t>PP260521004</t>
  </si>
  <si>
    <t>PP260521003</t>
  </si>
  <si>
    <t>Renbuzhu-CL-绿色植物课堂声级图灯磁贴26版</t>
  </si>
  <si>
    <t>School-Push-Light-34</t>
  </si>
  <si>
    <t>31.8450</t>
  </si>
  <si>
    <t>PP260521002</t>
  </si>
  <si>
    <t>Geefuun-GE-红衣主教风向挂2个装26版</t>
  </si>
  <si>
    <t>cardinal-windsocks-1</t>
  </si>
  <si>
    <t>7.3550</t>
  </si>
  <si>
    <t>PP260521001</t>
  </si>
  <si>
    <t>PP260520017</t>
  </si>
  <si>
    <t>Geefuun-GE-蜜蜂地精风向挂2个装26版</t>
  </si>
  <si>
    <t>Bee-Gnome-windsocks</t>
  </si>
  <si>
    <t>7.0450</t>
  </si>
  <si>
    <t>PP260520016</t>
  </si>
  <si>
    <t>PP260520015</t>
  </si>
  <si>
    <t>PP260520014</t>
  </si>
  <si>
    <t>Renbuzhu-CL-粉色柠檬灯笼扇花套装28pcs26版</t>
  </si>
  <si>
    <t>Lemon-Paper-Lanterns-10</t>
  </si>
  <si>
    <t>29.0450</t>
  </si>
  <si>
    <t>PP260520013</t>
  </si>
  <si>
    <t>PP260520012</t>
  </si>
  <si>
    <t>Moon Boat-EA-紫色万圣节生日派对26版</t>
  </si>
  <si>
    <t>halloween-birthday-party-decorations-11</t>
  </si>
  <si>
    <t>21.1050</t>
  </si>
  <si>
    <t>PP260520011</t>
  </si>
  <si>
    <t>90shine-JI-万圣节调味品围裙4pcs26版</t>
  </si>
  <si>
    <t>Halloween-Condiment-Apron</t>
  </si>
  <si>
    <t>20.4950</t>
  </si>
  <si>
    <t>PP260520010</t>
  </si>
  <si>
    <t>90shine-JI-万圣节调味品围裙6pcs26版</t>
  </si>
  <si>
    <t>Halloween-Condiment-Apron-5</t>
  </si>
  <si>
    <t>30.2610</t>
  </si>
  <si>
    <t>PP260520009</t>
  </si>
  <si>
    <t>Renbuzhu-CL-地中海柠檬纸球套装23pcs26版</t>
  </si>
  <si>
    <t>Lemon-decor</t>
  </si>
  <si>
    <t>16.0250</t>
  </si>
  <si>
    <t>PP260520008</t>
  </si>
  <si>
    <t>Renbuzhu-CL-黄色柠檬灯笼15pcs26版</t>
  </si>
  <si>
    <t>Lemon-Paper-Lanterns</t>
  </si>
  <si>
    <t>21.9920</t>
  </si>
  <si>
    <t>PP260520007</t>
  </si>
  <si>
    <t>90shine-JI-水果三角旗6pcs26版</t>
  </si>
  <si>
    <t>fruit-decor</t>
  </si>
  <si>
    <t>13.2160</t>
  </si>
  <si>
    <t>PP260520006</t>
  </si>
  <si>
    <t>Geefuun-GE-向日葵瓢虫蝴蝶风向挂3个装26版</t>
  </si>
  <si>
    <t>Sunflower-ladybug-butterfly-windsocks</t>
  </si>
  <si>
    <t>10.8550</t>
  </si>
  <si>
    <t>PP260520005</t>
  </si>
  <si>
    <t>PP260520004</t>
  </si>
  <si>
    <t>Geefuun-GE-向日葵瓢虫风向挂2个装26版</t>
  </si>
  <si>
    <t>Sunflower-ladybug-windsocks-1</t>
  </si>
  <si>
    <t>7.3600</t>
  </si>
  <si>
    <t>PP260520003</t>
  </si>
  <si>
    <t>PP260520002</t>
  </si>
  <si>
    <t>Geefuun-Ge-国庆节小吃盒50pcs25版</t>
  </si>
  <si>
    <t>PP260520001</t>
  </si>
  <si>
    <t>PP260519011</t>
  </si>
  <si>
    <t>Renbuzhu-CL-鱼缸捕光器36个25版</t>
  </si>
  <si>
    <t>Summer-Suncatcher-Kit</t>
  </si>
  <si>
    <t>22.0050</t>
  </si>
  <si>
    <t>PP260519010</t>
  </si>
  <si>
    <t>Renbuzhu-CL-柠檬纸球套装22pcs26版</t>
  </si>
  <si>
    <t>lemon-Paper-Ball-Set</t>
  </si>
  <si>
    <t>15.0420</t>
  </si>
  <si>
    <t>PP260519009</t>
  </si>
  <si>
    <t>Moon Boat-EA-圣灵之果手环100pcs26版</t>
  </si>
  <si>
    <t>Fruit-of-the-Spirit-Bracelets</t>
  </si>
  <si>
    <t>23.6970</t>
  </si>
  <si>
    <t>PP260519008</t>
  </si>
  <si>
    <t>Renbuzhu-CL-瓢虫蜜蜂灯笼14pcs26版</t>
  </si>
  <si>
    <t>Ladybug-and-bee-lanterns</t>
  </si>
  <si>
    <t>PP260519007</t>
  </si>
  <si>
    <t>PP260519006</t>
  </si>
  <si>
    <t>Geefuun-Ge-粉色柠檬小吃盒50pcs26版</t>
  </si>
  <si>
    <t>pink-lemon-Paper-Food-Trays</t>
  </si>
  <si>
    <t>8.8000</t>
  </si>
  <si>
    <t>PP260519005</t>
  </si>
  <si>
    <t>PP260519004</t>
  </si>
  <si>
    <t>Renbuzhu-CL-沙滩球纸灯笼30pcs26版</t>
  </si>
  <si>
    <t>beach-ball-lanterns-9</t>
  </si>
  <si>
    <t>33.1250</t>
  </si>
  <si>
    <t>PP260519003</t>
  </si>
  <si>
    <t>PP260519002</t>
  </si>
  <si>
    <t>Geefuun-Ge-50年代小吃盒50pcs26版</t>
  </si>
  <si>
    <t>50s-Paper-Food-Trays</t>
  </si>
  <si>
    <t>PP260519001</t>
  </si>
  <si>
    <t>Tieshankao-FW-粉色柠檬爆竹桌面装饰4个26版</t>
  </si>
  <si>
    <t>pink-lemon-table-decor</t>
  </si>
  <si>
    <t>15.0450</t>
  </si>
  <si>
    <t>PP260518021</t>
  </si>
  <si>
    <t>Geefuun-Ge-粉色柠檬宝宝迎新派对横幅26版</t>
  </si>
  <si>
    <t>pink-lemon-baby-shower-banner</t>
  </si>
  <si>
    <t>7.2050</t>
  </si>
  <si>
    <t>PP260518019</t>
  </si>
  <si>
    <t>PP260518018</t>
  </si>
  <si>
    <t>PP260518017</t>
  </si>
  <si>
    <t>Renbuzhu-CL-瓢虫蘑菇灯笼13pcs26版</t>
  </si>
  <si>
    <t>Ladybug-and-mushroom-lanterns</t>
  </si>
  <si>
    <t>20.6970</t>
  </si>
  <si>
    <t>PP260518016</t>
  </si>
  <si>
    <t>PP260518015</t>
  </si>
  <si>
    <t>JIT-喷墨亮面不干胶-21cm-29.7cm-仓库自印</t>
  </si>
  <si>
    <t>JIT-Stickers-1pcs-1</t>
  </si>
  <si>
    <t>0.6000</t>
  </si>
  <si>
    <t>PP260518012</t>
  </si>
  <si>
    <t>80UncleKimby-PN-涂色夏季DIY儿童遮阳帽24pcs26版</t>
  </si>
  <si>
    <t>Colorful-Summer-DIY-Children-Sun-Hat</t>
  </si>
  <si>
    <t>15.3500</t>
  </si>
  <si>
    <t>PP260518011</t>
  </si>
  <si>
    <t>Jpfezry-BV-露营DIY磁贴相框40pcs26版</t>
  </si>
  <si>
    <t>Camping-DIY-magnetic-photo-frame</t>
  </si>
  <si>
    <t>13.5000</t>
  </si>
  <si>
    <t>PP260518010</t>
  </si>
  <si>
    <t>Renbuzhu-CL-虫子灯笼14pcs26版</t>
  </si>
  <si>
    <t>Bug-Lanterns-A-4</t>
  </si>
  <si>
    <t>21.2900</t>
  </si>
  <si>
    <t>PP260518009</t>
  </si>
  <si>
    <t>Renbuzhu-CL-海龟灯笼15pcs26版</t>
  </si>
  <si>
    <t>Sea-turtle-lantern</t>
  </si>
  <si>
    <t>23.2420</t>
  </si>
  <si>
    <t>PP260518008</t>
  </si>
  <si>
    <t>PP260518007</t>
  </si>
  <si>
    <t>Moon Boat-EA-露营门廊装饰12pcs26版</t>
  </si>
  <si>
    <t>Camping-Party-Porch-Banners</t>
  </si>
  <si>
    <t>20.5450</t>
  </si>
  <si>
    <t>PP260518006</t>
  </si>
  <si>
    <t>Maqiauly-ND-盾牌宗教钥匙扣卡片套装26版</t>
  </si>
  <si>
    <t>Shield-religious-keychain</t>
  </si>
  <si>
    <t>24.9747</t>
  </si>
  <si>
    <t>PP260518005</t>
  </si>
  <si>
    <t>Geefuun-GE-瓢虫风向挂2个装26版</t>
  </si>
  <si>
    <t>ladybug-windsocks-0</t>
  </si>
  <si>
    <t>7.3150</t>
  </si>
  <si>
    <t>PP260518004</t>
  </si>
  <si>
    <t>PP260518003</t>
  </si>
  <si>
    <t>Renbuzhu-CL-蝴蝶鲜花灯笼套装15pcs26版</t>
  </si>
  <si>
    <t>Flower-Lantern-Set-6</t>
  </si>
  <si>
    <t>22.2920</t>
  </si>
  <si>
    <t>PP260518002</t>
  </si>
  <si>
    <t>80UncleKimby-PN-国庆节爱国diy热转印贴32pcs25版</t>
  </si>
  <si>
    <t>17.5450</t>
  </si>
  <si>
    <t>PP260518001</t>
  </si>
  <si>
    <t>24.0653</t>
  </si>
  <si>
    <t>PP260516006</t>
  </si>
  <si>
    <t>PP260516005</t>
  </si>
  <si>
    <t>21.5000</t>
  </si>
  <si>
    <t>PP260516002</t>
  </si>
  <si>
    <t>PP260516001</t>
  </si>
  <si>
    <t>Renbuzhu-CL-粉色柠檬雨丝帘装饰39pcs26版</t>
  </si>
  <si>
    <t>Pink-lemon-tinsel-curtain-decor</t>
  </si>
  <si>
    <t>25.0900</t>
  </si>
  <si>
    <t>PP260515019</t>
  </si>
  <si>
    <t>PP260515018</t>
  </si>
  <si>
    <t>PP260515017</t>
  </si>
  <si>
    <t>Renbuzhu-CL-地中海柠檬雨丝帘装饰43pcs26版</t>
  </si>
  <si>
    <t>Mediterranean-lemon-tinsel-curtain-decor</t>
  </si>
  <si>
    <t>26.1050</t>
  </si>
  <si>
    <t>PP260515016</t>
  </si>
  <si>
    <t>Renbuzhu-CL-瓢虫小花灯笼扇花套装13pcs26版</t>
  </si>
  <si>
    <t>Ladybug-flower-lantern-decor</t>
  </si>
  <si>
    <t>14.8370</t>
  </si>
  <si>
    <t>PP260515015</t>
  </si>
  <si>
    <t>PP260515014</t>
  </si>
  <si>
    <t>Renbuzhu-CL-秋季枫叶透明PVC礼品袋24pcs26版</t>
  </si>
  <si>
    <t>Fall-Maple-Leaves-Clear-PVC-Gift-Bags</t>
  </si>
  <si>
    <t>18.6450</t>
  </si>
  <si>
    <t>PP260515012</t>
  </si>
  <si>
    <t>PP260515011</t>
  </si>
  <si>
    <t>80UncleKimby-PN-粉色鱼缸DIY贴纸32pcs26版</t>
  </si>
  <si>
    <t>Fish-tank-DIY-sticker-2</t>
  </si>
  <si>
    <t>PP260515010</t>
  </si>
  <si>
    <t>luck sea-YO-开学礼物文具包24pcs26版</t>
  </si>
  <si>
    <t>back-to-school-gifts</t>
  </si>
  <si>
    <t>27.3450</t>
  </si>
  <si>
    <t>PP260515009</t>
  </si>
  <si>
    <t>Moon Boat-EA-彩色龟背叶手环100pcs26版</t>
  </si>
  <si>
    <t>tropical-bracelets-00</t>
  </si>
  <si>
    <t>30.6698</t>
  </si>
  <si>
    <t>供应商在广东</t>
  </si>
  <si>
    <t>PP260515008</t>
  </si>
  <si>
    <t>PP260515007</t>
  </si>
  <si>
    <t>Renbuzhu-CL-马卡龙大理石课堂声级图灯26版</t>
  </si>
  <si>
    <t>School-Push-Light-A</t>
  </si>
  <si>
    <t>25.6110</t>
  </si>
  <si>
    <t>PP260515006</t>
  </si>
  <si>
    <t>Renbuzhu-CL-书籍课堂声级图灯26版</t>
  </si>
  <si>
    <t>School-Push-Light-B</t>
  </si>
  <si>
    <t>25.0590</t>
  </si>
  <si>
    <t>PP260515005</t>
  </si>
  <si>
    <t>Renbuzhu-CL-黑白课堂声级图灯26版</t>
  </si>
  <si>
    <t>School-Push-Light-C</t>
  </si>
  <si>
    <t>PP260515004</t>
  </si>
  <si>
    <t>Tieshankao-FW-消防车桌布25版</t>
  </si>
  <si>
    <t>Fire-Truck-Tablecloth</t>
  </si>
  <si>
    <t>24.3900</t>
  </si>
  <si>
    <t>PP260515003</t>
  </si>
  <si>
    <t>PP260515002</t>
  </si>
  <si>
    <t>Renbuzhu-CL-夏天灯笼扇花套装15pcs26版</t>
  </si>
  <si>
    <t>summer-lanterns-20</t>
  </si>
  <si>
    <t>21.4920</t>
  </si>
  <si>
    <t>PP260515001</t>
  </si>
  <si>
    <t>Renbuzhu-CL-新家庭暴力意识月钥匙扣60pcs26版</t>
  </si>
  <si>
    <t>Domestic-Violence-Awareness-Month-Keychain-A</t>
  </si>
  <si>
    <t>22.0450</t>
  </si>
  <si>
    <t>PP260514016</t>
  </si>
  <si>
    <t>Renbuzhu-CL-生日粉色柠檬纸球纸挂饰气球套装65pcs26版</t>
  </si>
  <si>
    <t>birthday-pink-lemon-balloon-set</t>
  </si>
  <si>
    <t>22.9420</t>
  </si>
  <si>
    <t>PP260514015</t>
  </si>
  <si>
    <t>Renbuzhu-CL-万圣节骷髅跳舞灯笼16pcs26版</t>
  </si>
  <si>
    <t>Halloween-skeleton-dancing-lantern</t>
  </si>
  <si>
    <t>20.4920</t>
  </si>
  <si>
    <t>PP260514014</t>
  </si>
  <si>
    <t>PP260514013</t>
  </si>
  <si>
    <t>jollylife-JO-12条装草裙+6对手环20版</t>
  </si>
  <si>
    <t>吴婉苗</t>
  </si>
  <si>
    <t>29.7100</t>
  </si>
  <si>
    <t>PP260514012</t>
  </si>
  <si>
    <t>Renbuzhu-CL-同性恋挂绳钥匙链60pcs26版</t>
  </si>
  <si>
    <t>pride-Lanyard-Keychains</t>
  </si>
  <si>
    <t>21.7000</t>
  </si>
  <si>
    <t>PP260514011</t>
  </si>
  <si>
    <t>80UncleKimby-PN-复古mardi gras面具-卡纸56个26版</t>
  </si>
  <si>
    <t>Mardi-Gras-Mask-23</t>
  </si>
  <si>
    <t>16.9650</t>
  </si>
  <si>
    <t>PP260514010</t>
  </si>
  <si>
    <t>Moon Boat-EA-蓝粉色夏威夷花环套装60pcs26版</t>
  </si>
  <si>
    <t>Blue-pink-Hawaiian-Leis</t>
  </si>
  <si>
    <t>24.1800</t>
  </si>
  <si>
    <t>PP260514009</t>
  </si>
  <si>
    <t>Renbuzhu-CL-瓢虫生日横幅螺旋挂装饰21pcs26版</t>
  </si>
  <si>
    <t>Ladybug-banner</t>
  </si>
  <si>
    <t>23.2370</t>
  </si>
  <si>
    <t>PP260514008</t>
  </si>
  <si>
    <t>80UncleKimby-PN-宗教水果树立体diy32pcs26版</t>
  </si>
  <si>
    <t>Religious-fruit-shaped-DIY</t>
  </si>
  <si>
    <t>18.7000</t>
  </si>
  <si>
    <t>PP260514007</t>
  </si>
  <si>
    <t>PP260514006</t>
  </si>
  <si>
    <t>Moon Boat-EA-夏威夷手环100pcs26版</t>
  </si>
  <si>
    <t>tropical-bracelets-A</t>
  </si>
  <si>
    <t>23.4898</t>
  </si>
  <si>
    <t>PP260514005</t>
  </si>
  <si>
    <t>Moon Boat-EA-夏威夷手环144pcs26版</t>
  </si>
  <si>
    <t>tropical-bracelets-B</t>
  </si>
  <si>
    <t>33.6090</t>
  </si>
  <si>
    <t>PP260514004</t>
  </si>
  <si>
    <t>Renbuzhu-CL-粉色柠檬三角旗6pcs26版</t>
  </si>
  <si>
    <t>pink-lemon-decor</t>
  </si>
  <si>
    <t>12.7160</t>
  </si>
  <si>
    <t>PP260514003</t>
  </si>
  <si>
    <t>Renbuzhu-CL-地中海柠檬横幅纸扇套装24pcs26版</t>
  </si>
  <si>
    <t>Lemon-banner</t>
  </si>
  <si>
    <t>20.7050</t>
  </si>
  <si>
    <t>PP260514002</t>
  </si>
  <si>
    <t>Renbuzhu-CL-甲壳虫灯笼17pcs26版</t>
  </si>
  <si>
    <t>Beetle-Lanterns</t>
  </si>
  <si>
    <t>22.6920</t>
  </si>
  <si>
    <t>PP260514001</t>
  </si>
  <si>
    <t>PP260513025</t>
  </si>
  <si>
    <t>PP260513024</t>
  </si>
  <si>
    <t>Renbuzhu-CL-草莓灯笼套装15pcs25版</t>
  </si>
  <si>
    <t>Strawberry-Lanterns</t>
  </si>
  <si>
    <t>26.0920</t>
  </si>
  <si>
    <t>PP260513023</t>
  </si>
  <si>
    <t>10.2000</t>
  </si>
  <si>
    <t>PP260513022</t>
  </si>
  <si>
    <t>PP260513021</t>
  </si>
  <si>
    <t>Moon Boat-EA-夏威夷手环74pcs26版</t>
  </si>
  <si>
    <t>tropical-bracelets</t>
  </si>
  <si>
    <t>17.4698</t>
  </si>
  <si>
    <t>PP260513020</t>
  </si>
  <si>
    <t>Renbuzhu-CL-冰淇淋棒球钥匙扣50pcs26版</t>
  </si>
  <si>
    <t>Ice-cream-baseball-keychain</t>
  </si>
  <si>
    <t>18.0450</t>
  </si>
  <si>
    <t>PP260513019</t>
  </si>
  <si>
    <t>Renbuzhu-CL-丛林灯笼17pcs26版</t>
  </si>
  <si>
    <t>Jungle-Lantern</t>
  </si>
  <si>
    <t>23.6920</t>
  </si>
  <si>
    <t>PP260513018</t>
  </si>
  <si>
    <t>90shine-JI-母亲节冰箱贴36个装25版</t>
  </si>
  <si>
    <t>mother-refrigerator-magnets</t>
  </si>
  <si>
    <t>15.0000</t>
  </si>
  <si>
    <t>PP260513017</t>
  </si>
  <si>
    <t>PP260513016</t>
  </si>
  <si>
    <t>Renbuzhu-CL-粉色柠檬纸球纸挂饰气球套装65pcs26版</t>
  </si>
  <si>
    <t>Pink-lemon-balloon-set</t>
  </si>
  <si>
    <t>25.5420</t>
  </si>
  <si>
    <t>PP260513015</t>
  </si>
  <si>
    <t>Renbuzhu-CL-粉色柠檬纸球纸挂帘套装31pcs26版</t>
  </si>
  <si>
    <t>Pink-lemon-paper-hanging</t>
  </si>
  <si>
    <t>20.5900</t>
  </si>
  <si>
    <t>PP260513014</t>
  </si>
  <si>
    <t>80UncleKimby-PN-国庆节高尔夫球车装饰25版</t>
  </si>
  <si>
    <t>4th-of-july-golf-cart-decorations</t>
  </si>
  <si>
    <t>15.7050</t>
  </si>
  <si>
    <t>PP260513013</t>
  </si>
  <si>
    <t>PP260513012</t>
  </si>
  <si>
    <t>13.1500</t>
  </si>
  <si>
    <t>PP260513011</t>
  </si>
  <si>
    <t>jollylife-JO-单身派对杯套16pcs26版</t>
  </si>
  <si>
    <t>Last-Rodeo-Bachelorette-Cup-Sleeve</t>
  </si>
  <si>
    <t>16.0450</t>
  </si>
  <si>
    <t>PP260513009</t>
  </si>
  <si>
    <t>Jpfezry-BV-藤条猴子套装51pcs26版</t>
  </si>
  <si>
    <t>Rattan-monkey-suit</t>
  </si>
  <si>
    <t>30.2400</t>
  </si>
  <si>
    <t>PP260513008</t>
  </si>
  <si>
    <t>Tieshankao-FW-粉色柠檬麻将桌垫26版</t>
  </si>
  <si>
    <t>pink-lemon-mahjong-table-mat</t>
  </si>
  <si>
    <t>12.4350</t>
  </si>
  <si>
    <t>PP260513007</t>
  </si>
  <si>
    <t>PP260513006</t>
  </si>
  <si>
    <t>PP260513005</t>
  </si>
  <si>
    <t>PP260513004</t>
  </si>
  <si>
    <t>PP260513003</t>
  </si>
  <si>
    <t>90shine-JI-露营刮纸90pcs26版</t>
  </si>
  <si>
    <t>Camping-scratch</t>
  </si>
  <si>
    <t>11.6450</t>
  </si>
  <si>
    <t>PP260513002</t>
  </si>
  <si>
    <t>PP260513001</t>
  </si>
  <si>
    <t>90shine-JI-护士周冰箱贴36个装24版</t>
  </si>
  <si>
    <t>refrigerator-magnets-for-nurses</t>
  </si>
  <si>
    <t>16.3300</t>
  </si>
  <si>
    <t>质检排不下</t>
  </si>
  <si>
    <t>PP260512017</t>
  </si>
  <si>
    <t>17.9411</t>
  </si>
  <si>
    <t>PP260512016</t>
  </si>
  <si>
    <t>Renbuzhu-CL-黄色柠檬三角旗6pcs26版</t>
  </si>
  <si>
    <t>yellow-lemon-decor</t>
  </si>
  <si>
    <t>12.7610</t>
  </si>
  <si>
    <t>PP260512015</t>
  </si>
  <si>
    <t>Renbuzhu-CL-粉色柠檬三角旗12pcs26版</t>
  </si>
  <si>
    <t>pink-lemon-decor-3</t>
  </si>
  <si>
    <t>25.4350</t>
  </si>
  <si>
    <t>PP260512014</t>
  </si>
  <si>
    <t>PP260512013</t>
  </si>
  <si>
    <t>PP260512012</t>
  </si>
  <si>
    <t>PP260512011</t>
  </si>
  <si>
    <t>Geefuun-Ge-粉色柠檬小吃盒100pcs26版</t>
  </si>
  <si>
    <t>pink-lemon-Paper-Food-Trays-3</t>
  </si>
  <si>
    <t>16.3450</t>
  </si>
  <si>
    <t>PP260512010</t>
  </si>
  <si>
    <t>luck sea-YO-足球墨镜套装109pcs26版</t>
  </si>
  <si>
    <t>soccer-party-favor</t>
  </si>
  <si>
    <t>38.2650</t>
  </si>
  <si>
    <t>PP260512009</t>
  </si>
  <si>
    <t>PP260512008</t>
  </si>
  <si>
    <t>Renbuzhu-CL-太阳灯纸盒子15pcs26版</t>
  </si>
  <si>
    <t>Sun-Paper-Lantern-Boxes</t>
  </si>
  <si>
    <t>24.9900</t>
  </si>
  <si>
    <t>PP260512007</t>
  </si>
  <si>
    <t>Renbuzhu-CL-运动主题灯笼套装14pcs26版</t>
  </si>
  <si>
    <t>sports-lanterns</t>
  </si>
  <si>
    <t>23.9920</t>
  </si>
  <si>
    <t>PP260512006</t>
  </si>
  <si>
    <t>Renbuzhu-CL-瓢虫小花灯笼16pcs26版</t>
  </si>
  <si>
    <t>Ladybug-flower-lanterns</t>
  </si>
  <si>
    <t>21.0370</t>
  </si>
  <si>
    <t>PP260512005</t>
  </si>
  <si>
    <t>PP260512004</t>
  </si>
  <si>
    <t>80UncleKimby-PN-夏季DIY儿童遮阳帽20pcs26版</t>
  </si>
  <si>
    <t>Sun-Visor-Foam-Hats-11</t>
  </si>
  <si>
    <t>18.2700</t>
  </si>
  <si>
    <t>PP260512003</t>
  </si>
  <si>
    <t>80UncleKimby-PN-夏季DIY儿童遮阳帽45pcs26版</t>
  </si>
  <si>
    <t>Sun-Visor-Foam-Hats-10</t>
  </si>
  <si>
    <t>40.1700</t>
  </si>
  <si>
    <t>PP260512002</t>
  </si>
  <si>
    <t>80UncleKimby-PN-夏季DIY儿童遮阳帽60pcs26版</t>
  </si>
  <si>
    <t>Sun-Visor-Foam-Hats-9</t>
  </si>
  <si>
    <t>53.1700</t>
  </si>
  <si>
    <t>PP260512001</t>
  </si>
  <si>
    <t>PP260511011</t>
  </si>
  <si>
    <t>PP260511010</t>
  </si>
  <si>
    <t>Renbuzhu-CL-农贸市场灯笼17pcs26版</t>
  </si>
  <si>
    <t>Farm-market-lanterns</t>
  </si>
  <si>
    <t>22.6671</t>
  </si>
  <si>
    <t>PP260511009</t>
  </si>
  <si>
    <t>luck sea-YO-狗狗派对生日帽30pcs26版</t>
  </si>
  <si>
    <t>Dog-Party-Birthday-Hat</t>
  </si>
  <si>
    <t>15.5450</t>
  </si>
  <si>
    <t>PP260511008</t>
  </si>
  <si>
    <t>Renbuzhu-CL-外星人灯笼17pcs26版</t>
  </si>
  <si>
    <t>Alien-Lantern</t>
  </si>
  <si>
    <t>21.6920</t>
  </si>
  <si>
    <t>PP260511007</t>
  </si>
  <si>
    <t>PP260511006</t>
  </si>
  <si>
    <t>PP260511005</t>
  </si>
  <si>
    <t>luck sea-YO-宗教基督主题指甲锉100pcs26版</t>
  </si>
  <si>
    <t>Bible-Verse-Christian-Religious-Nail-Files-3</t>
  </si>
  <si>
    <t>27.8400</t>
  </si>
  <si>
    <t>PP260511004</t>
  </si>
  <si>
    <t>PP260511003</t>
  </si>
  <si>
    <t>PP260511002</t>
  </si>
  <si>
    <t>PP260511001</t>
  </si>
  <si>
    <t>PP260509014</t>
  </si>
  <si>
    <t>Renbuzhu-CL-冰淇淋棒球灯笼15pcs26版</t>
  </si>
  <si>
    <t>Ice-cream-lantern</t>
  </si>
  <si>
    <t>22.3920</t>
  </si>
  <si>
    <t>PP260509013</t>
  </si>
  <si>
    <t>Renbuzhu-CL-感恩节火鸡捕光器48个26版</t>
  </si>
  <si>
    <t>Turkey-Suncatchers-Craft-48</t>
  </si>
  <si>
    <t>19.2600</t>
  </si>
  <si>
    <t>PP260509012</t>
  </si>
  <si>
    <t>Renbuzhu-CL-90年代灯笼18pcs26版</t>
  </si>
  <si>
    <t>90s-lanterns</t>
  </si>
  <si>
    <t>PP260509011</t>
  </si>
  <si>
    <t>90shine-JI-混装啤酒节项链72pcs26版</t>
  </si>
  <si>
    <t>oktoberfest-bead-necklaces-4</t>
  </si>
  <si>
    <t>33.6000</t>
  </si>
  <si>
    <t>PP260509010</t>
  </si>
  <si>
    <t>PP260509009</t>
  </si>
  <si>
    <t>80UncleKimby-PN -夏季diy相框56pcs25版</t>
  </si>
  <si>
    <t>Summer-Picture-Frames-Craft-DIY-1</t>
  </si>
  <si>
    <t>11.0600</t>
  </si>
  <si>
    <t>PP260509008</t>
  </si>
  <si>
    <t>Renbuzhu-CL-夏季热气球捕光器48个26版</t>
  </si>
  <si>
    <t>Hot-Air-Balloons-Craft</t>
  </si>
  <si>
    <t>PP260509007</t>
  </si>
  <si>
    <t>PP260509006</t>
  </si>
  <si>
    <t>Renbuzhu-CL-意大利浪漫主题灯笼17pcs26版</t>
  </si>
  <si>
    <t>Italian-romantic-themed-lanterns</t>
  </si>
  <si>
    <t>PP260509005</t>
  </si>
  <si>
    <t>PP260509004</t>
  </si>
  <si>
    <t>PP260509003</t>
  </si>
  <si>
    <t>Renbuzhu-CL-50年代灯笼17pcs26版</t>
  </si>
  <si>
    <t>50s-lanterns</t>
  </si>
  <si>
    <t>23.4920</t>
  </si>
  <si>
    <t>PP260509002</t>
  </si>
  <si>
    <t>PP260509001</t>
  </si>
  <si>
    <t>jollylife-JO国庆扇花套装20版-亚拼</t>
  </si>
  <si>
    <t>julyfans-00</t>
  </si>
  <si>
    <t>16.1833</t>
  </si>
  <si>
    <t>PP260508023</t>
  </si>
  <si>
    <t>Moon Boat-EA-万圣节基督教荧光手环144pcs25版</t>
  </si>
  <si>
    <t>Halloween-Christian-Bracelets</t>
  </si>
  <si>
    <t>王雯锋</t>
  </si>
  <si>
    <t>34.1560</t>
  </si>
  <si>
    <t>PP260508022</t>
  </si>
  <si>
    <t>Moon Boat-EA-万圣节手环144pcs25版</t>
  </si>
  <si>
    <t>Halloween-Blacelets</t>
  </si>
  <si>
    <t>33.1560</t>
  </si>
  <si>
    <t>PP260508021</t>
  </si>
  <si>
    <t>Renbuzhu-CL-黑白记事本透明PVC礼品袋24pcs26版</t>
  </si>
  <si>
    <t>Composition-Notebook-Clear-PVC-Gift-Bags</t>
  </si>
  <si>
    <t>PP260508020</t>
  </si>
  <si>
    <t>Renbuzhu-CL-开学季油漆刷装饰26版</t>
  </si>
  <si>
    <t>Paint-brush-decor</t>
  </si>
  <si>
    <t>24.2570</t>
  </si>
  <si>
    <t>PP260508019</t>
  </si>
  <si>
    <t>Renbuzhu-CL-80年代灯笼16pcs26版</t>
  </si>
  <si>
    <t>80s-lanterns</t>
  </si>
  <si>
    <t>22.8920</t>
  </si>
  <si>
    <t>PP260508018</t>
  </si>
  <si>
    <t>Renbuzhu-CL-毕业季照片书本8pcs26版</t>
  </si>
  <si>
    <t>graduation-photo-table-decor</t>
  </si>
  <si>
    <t>7.9070</t>
  </si>
  <si>
    <t>PP260508017</t>
  </si>
  <si>
    <t>Renbuzhu-CL-毕业季照片盒子8pcs26版</t>
  </si>
  <si>
    <t>graduation-photo-table-decor-6</t>
  </si>
  <si>
    <t>10.0450</t>
  </si>
  <si>
    <t>PP260508016</t>
  </si>
  <si>
    <t>PP260508014</t>
  </si>
  <si>
    <t>27.0800</t>
  </si>
  <si>
    <t>PP260508013</t>
  </si>
  <si>
    <t>90shine-JI-懒黑猫新人司机趣味车贴10pcs26版</t>
  </si>
  <si>
    <t>new-driver-magnets-14</t>
  </si>
  <si>
    <t>PP260508011</t>
  </si>
  <si>
    <t>PP260508010</t>
  </si>
  <si>
    <t>90shine-JI-蓝紫新人司机趣味车贴10pcs26版</t>
  </si>
  <si>
    <t>new-driver-magnets-11</t>
  </si>
  <si>
    <t>PP260508009</t>
  </si>
  <si>
    <t>PP260508008</t>
  </si>
  <si>
    <t>PP260508007</t>
  </si>
  <si>
    <t>PP260508006</t>
  </si>
  <si>
    <t>Moon Boat-EA-鲨鱼天花板横幅27pcs26版</t>
  </si>
  <si>
    <t>Shark-ceiling-banner</t>
  </si>
  <si>
    <t>31.3650</t>
  </si>
  <si>
    <t>PP260508005</t>
  </si>
  <si>
    <t>Renbuzhu-CL-太阳蜂窝桌面摆件9pcs26版</t>
  </si>
  <si>
    <t>Sun-honeycomb-decoration</t>
  </si>
  <si>
    <t>18.8450</t>
  </si>
  <si>
    <t>PP260508004</t>
  </si>
  <si>
    <t>PP260508003</t>
  </si>
  <si>
    <t>Maqiauly-ND-基督服装盔甲卡片装饰15pcs26版</t>
  </si>
  <si>
    <t>Armor-of-God-Costume-card-decoration</t>
  </si>
  <si>
    <t>PP260508002</t>
  </si>
  <si>
    <t>Tieshankao-FW-骷髅跳舞厨房地垫毛巾套装10件套26版</t>
  </si>
  <si>
    <t>Halloween-Skeleton-kitchen-set</t>
  </si>
  <si>
    <t>48.7360</t>
  </si>
  <si>
    <t>PP260508001</t>
  </si>
  <si>
    <t>jollylife-JO雪花串纸质12装23版-亚拼希</t>
  </si>
  <si>
    <t>NY-XCJW-KYSM-1</t>
  </si>
  <si>
    <t>10.5600</t>
  </si>
  <si>
    <t>PP260507021</t>
  </si>
  <si>
    <t>Renbuzhu-CL-宗教灯泡捕光器文字款48个26版</t>
  </si>
  <si>
    <t>Bulb-Suncatcher-Craft-48</t>
  </si>
  <si>
    <t>17.9600</t>
  </si>
  <si>
    <t>PP260507020</t>
  </si>
  <si>
    <t>PP260507019</t>
  </si>
  <si>
    <t>Renbuzhu-CL-开学季笔记本透明PVC礼品袋24pcs26版</t>
  </si>
  <si>
    <t>Back-to-School-Clear-PVC-Notebook-Line-Gift-Bags</t>
  </si>
  <si>
    <t>PP260507018</t>
  </si>
  <si>
    <t>Renbuzhu-CL-夏威夷芙蓉花透明PVC礼品袋25pcs26版</t>
  </si>
  <si>
    <t>Hawaiian-Luau-Hibiscus-Flower-Clear-PVC-Gift-Bags</t>
  </si>
  <si>
    <t>25.5850</t>
  </si>
  <si>
    <t>PP260507017</t>
  </si>
  <si>
    <t>PP260507015</t>
  </si>
  <si>
    <t>26.5711</t>
  </si>
  <si>
    <t>PP260507014</t>
  </si>
  <si>
    <t>PP260507013</t>
  </si>
  <si>
    <t>90shine-JI-新人司机趣味车贴10pcs26版</t>
  </si>
  <si>
    <t>new-driver-magnets</t>
  </si>
  <si>
    <t>PP260507012</t>
  </si>
  <si>
    <t>Eternity sky-FS-十字架秋天diy手链 27pcs26版</t>
  </si>
  <si>
    <t>autumn-diy-bracelet</t>
  </si>
  <si>
    <t>19.8080</t>
  </si>
  <si>
    <t>PP260507011</t>
  </si>
  <si>
    <t>Eternity sky-FS-枫叶秋天diy手链27pcs26版</t>
  </si>
  <si>
    <t>Maple-leaf-diy-bracelet</t>
  </si>
  <si>
    <t>PP260507010</t>
  </si>
  <si>
    <t>Jpfezry-BV-地中海柠檬折扇30pcs26版</t>
  </si>
  <si>
    <t>Lemon-Hand-Folding-Fans-A</t>
  </si>
  <si>
    <t>66.6580</t>
  </si>
  <si>
    <t>PP260507009</t>
  </si>
  <si>
    <t>Jpfezry-BV-地中海柠檬折扇15pcs26</t>
  </si>
  <si>
    <t>Lemon-Hand-Folding-Fans</t>
  </si>
  <si>
    <t>31.8080</t>
  </si>
  <si>
    <t>PP260507008</t>
  </si>
  <si>
    <t>Tieshankao-FW-南瓜剪影秋天厨房地垫毛巾套装10件套26版</t>
  </si>
  <si>
    <t>Autumn-pumpkin-kitchen-set</t>
  </si>
  <si>
    <t>PP260507007</t>
  </si>
  <si>
    <t>Renbuzhu-CL-十字架diy灯笼捕光器17pcs26版</t>
  </si>
  <si>
    <t>cross-DIY-Lantern-Suncatcher</t>
  </si>
  <si>
    <t>16.5600</t>
  </si>
  <si>
    <t>PP260507006</t>
  </si>
  <si>
    <t>luck sea-YO-足球墨镜15pcs26版</t>
  </si>
  <si>
    <t>soccer-party-favor-1</t>
  </si>
  <si>
    <t>35.1100</t>
  </si>
  <si>
    <t>PP260507005</t>
  </si>
  <si>
    <t>Renbuzhu-CL-紫绿万圣节纸灯笼15pcs26版</t>
  </si>
  <si>
    <t>Purple-Green-Halloween-Lanterns</t>
  </si>
  <si>
    <t>22.0920</t>
  </si>
  <si>
    <t>PP260507004</t>
  </si>
  <si>
    <t>PP260507003</t>
  </si>
  <si>
    <t>Renbuzhu-CL-啤酒节灯笼扇花14pcs26版</t>
  </si>
  <si>
    <t>Oktoberfest-Lanterns-A</t>
  </si>
  <si>
    <t>18.4920</t>
  </si>
  <si>
    <t>PP260507002</t>
  </si>
  <si>
    <t>PP260507001</t>
  </si>
  <si>
    <t>PP260506029</t>
  </si>
  <si>
    <t>PP260506028</t>
  </si>
  <si>
    <t>Moon Boat-EA七彩扇花组合套装主体-扇花+说明书+螺旋旗帜配件23版</t>
  </si>
  <si>
    <t>24.0000</t>
  </si>
  <si>
    <t>PP260506027</t>
  </si>
  <si>
    <t>Moon Boat-EA-深色万圣节基督教荧光手环144pcs26版</t>
  </si>
  <si>
    <t>Halloween-Christian-Bracelets-D</t>
  </si>
  <si>
    <t>35.7060</t>
  </si>
  <si>
    <t>PP260506026</t>
  </si>
  <si>
    <t>19.1110</t>
  </si>
  <si>
    <t>PP260506025</t>
  </si>
  <si>
    <t>18.8000</t>
  </si>
  <si>
    <t>PP260506023</t>
  </si>
  <si>
    <t>80UncleKimby-PN-躺尸鬼22版</t>
  </si>
  <si>
    <t>Covered-Dead-Body</t>
  </si>
  <si>
    <t>22.8600</t>
  </si>
  <si>
    <t>PP260506022</t>
  </si>
  <si>
    <t>普通备货纯白带手柄马克杯-9.5-8.2cm-栩阳含泡沫（不含盒）</t>
  </si>
  <si>
    <t>Pure-white-mug-with-handle-1pcs-6</t>
  </si>
  <si>
    <t>3.5000</t>
  </si>
  <si>
    <t>PP260506021</t>
  </si>
  <si>
    <t>普通备货黑白带手柄马克杯-9.5-8.2cm-栩阳含泡沫（不含盒）</t>
  </si>
  <si>
    <t>Black-and-white-mug-with-handle-1pcs-9</t>
  </si>
  <si>
    <t>4.2000</t>
  </si>
  <si>
    <t>PP260506020</t>
  </si>
  <si>
    <t>普通备货内粉带手柄马克杯-9.5-8.2cm-栩阳含泡沫（不含盒）</t>
  </si>
  <si>
    <t>Pink-and-white-mug-with-handle-1pcs</t>
  </si>
  <si>
    <t>PP260506019</t>
  </si>
  <si>
    <t>普通备货全黑带手柄马克杯-9.5-8.2cm-栩阳含泡沫（不含盒）</t>
  </si>
  <si>
    <t>All-black-mug-with-handle-1pcs</t>
  </si>
  <si>
    <t>4.6000</t>
  </si>
  <si>
    <t>PP260506018</t>
  </si>
  <si>
    <t>PP260506017</t>
  </si>
  <si>
    <t>Renbuzhu-CL-开学季多款式通行证18pcs26版</t>
  </si>
  <si>
    <t>hall-passes-for-classrooms-18pcs</t>
  </si>
  <si>
    <t>15.8660</t>
  </si>
  <si>
    <t>PP260506016</t>
  </si>
  <si>
    <t>PP260506015</t>
  </si>
  <si>
    <t>PP260506014</t>
  </si>
  <si>
    <t>luck sea-YO-棒球墨镜15pcs26版</t>
  </si>
  <si>
    <t>baseball-party-favor</t>
  </si>
  <si>
    <t>34.3750</t>
  </si>
  <si>
    <t>PP260506013</t>
  </si>
  <si>
    <t>luck sea-YO-满印足球墨镜15pcs26版</t>
  </si>
  <si>
    <t>soccer-party-favor-26</t>
  </si>
  <si>
    <t>38.4650</t>
  </si>
  <si>
    <t>PP260506012</t>
  </si>
  <si>
    <t>90shine-JI-橄榄球磁贴60pcs26版</t>
  </si>
  <si>
    <t>Football-magnets</t>
  </si>
  <si>
    <t>18.5450</t>
  </si>
  <si>
    <t>PP260506011</t>
  </si>
  <si>
    <t>PP260506010</t>
  </si>
  <si>
    <t>PP260506009</t>
  </si>
  <si>
    <t>Moon Boat-EA-药物过量意识手环144pcs26版</t>
  </si>
  <si>
    <t>overdose-bracelets</t>
  </si>
  <si>
    <t>32.5260</t>
  </si>
  <si>
    <t>PP260506008</t>
  </si>
  <si>
    <t>PP260506007</t>
  </si>
  <si>
    <t>Geefuun-Ge-啤酒节小吃盒50pcs24版</t>
  </si>
  <si>
    <t>oktoberfest-paper-food-trays-1</t>
  </si>
  <si>
    <t>8.0000</t>
  </si>
  <si>
    <t>PP260506006</t>
  </si>
  <si>
    <t>Jpfezry-BV-宗教diy木质磁贴56pcs26版</t>
  </si>
  <si>
    <t>Jesus-Wood-Religious-Craft-Kit-Magnets</t>
  </si>
  <si>
    <t>23.1700</t>
  </si>
  <si>
    <t>PP260506005</t>
  </si>
  <si>
    <t>Tieshankao-FW-校车桌布25版</t>
  </si>
  <si>
    <t>school-bus-tablecloth</t>
  </si>
  <si>
    <t>PP260506004</t>
  </si>
  <si>
    <t>PP260506003</t>
  </si>
  <si>
    <t>Moon Boat-EA-万圣节基督教荧光手环300pcs26版</t>
  </si>
  <si>
    <t>Halloween-Christian-Bracelets-C</t>
  </si>
  <si>
    <t>69.4600</t>
  </si>
  <si>
    <t>PP260506002</t>
  </si>
  <si>
    <t>Moon Boat-EA-万圣节基督教荧光手环200pcs26版</t>
  </si>
  <si>
    <t>Halloween-Christian-Bracelets-B-1</t>
  </si>
  <si>
    <t>46.4600</t>
  </si>
  <si>
    <t>PP260506001</t>
  </si>
  <si>
    <t>Moon Boat-EA-万圣节基督教荧光手环100pcs26版</t>
  </si>
  <si>
    <t>Halloween-Christian-Bracelets-A</t>
  </si>
  <si>
    <t>23.8298</t>
  </si>
  <si>
    <t>PP260505042</t>
  </si>
  <si>
    <t>Renbuzhu-CL-同事礼物亚克力奖牌30pcs26版</t>
  </si>
  <si>
    <t>Employee-Gifts-Acrylic-Awards</t>
  </si>
  <si>
    <t>42.1650</t>
  </si>
  <si>
    <t>PP260505041</t>
  </si>
  <si>
    <t>PP260505040</t>
  </si>
  <si>
    <t>luck sea-YO-冰淇淋棒球墨镜15pcs26版</t>
  </si>
  <si>
    <t>ice-cream-baseball-sunglasses</t>
  </si>
  <si>
    <t>40.1050</t>
  </si>
  <si>
    <t>PP260505039</t>
  </si>
  <si>
    <t>JIT-全黑马克杯-含泡沫印刷（不含盒）-荣腾</t>
  </si>
  <si>
    <t>JIT-all-black-mug-1pcs-2</t>
  </si>
  <si>
    <t>7.1500</t>
  </si>
  <si>
    <t>PP260505038</t>
  </si>
  <si>
    <t>JIT内粉带手柄马克杯-9.5-8.2cm-含泡沫印刷（不含盒）-荣腾</t>
  </si>
  <si>
    <t>JIT-Pink-white-mug-with-handle-1pcs-1</t>
  </si>
  <si>
    <t>6.4500</t>
  </si>
  <si>
    <t>PP260505037</t>
  </si>
  <si>
    <t>JIT黑白带手柄马克杯-9.5-8.2cm-含泡沫印刷（不含盒）-荣腾</t>
  </si>
  <si>
    <t>JIT-Black-and-white-mug-with-handle-1pcs-1</t>
  </si>
  <si>
    <t>PP260505036</t>
  </si>
  <si>
    <t>JIT纯白带手柄马克杯-9.5-8.2cm-含泡沫印刷（不含盒）-荣腾</t>
  </si>
  <si>
    <t>JIT-Pure-white-mug-with-handle-1pcs-2</t>
  </si>
  <si>
    <t>5.8500</t>
  </si>
  <si>
    <t>PP260505035</t>
  </si>
  <si>
    <t>JIT内红带手柄马克杯-9.5-8.2cm-含泡沫印刷(不含盒)-荣腾</t>
  </si>
  <si>
    <t>JIT-Red-white-mug-with-handle-1pcs</t>
  </si>
  <si>
    <t>PP260505034</t>
  </si>
  <si>
    <t>PP260505033</t>
  </si>
  <si>
    <t>PP260505032</t>
  </si>
  <si>
    <t>PP260505031</t>
  </si>
  <si>
    <t>PP260505030</t>
  </si>
  <si>
    <t>PP260505029</t>
  </si>
  <si>
    <t>PP260505028</t>
  </si>
  <si>
    <t>PP260505027</t>
  </si>
  <si>
    <t>PP260505026</t>
  </si>
  <si>
    <t>Renbuzhu-CL-开学季蜡笔窗帘26版</t>
  </si>
  <si>
    <t>back-to-school-crayon-curtains-0</t>
  </si>
  <si>
    <t>25.8150</t>
  </si>
  <si>
    <t>PP260505025</t>
  </si>
  <si>
    <t>PP260505024</t>
  </si>
  <si>
    <t>PP260505023</t>
  </si>
  <si>
    <t>PP260505022</t>
  </si>
  <si>
    <t>PP260505021</t>
  </si>
  <si>
    <t>PP260505020</t>
  </si>
  <si>
    <t>90shine-JI-啤酒节项链100pcs26版</t>
  </si>
  <si>
    <t>oktoberfest-bead-necklaces-5</t>
  </si>
  <si>
    <t>43.0000</t>
  </si>
  <si>
    <t>PP260505019</t>
  </si>
  <si>
    <t>luck sea-YO-消极funny pens24pcs23版-亚拼</t>
  </si>
  <si>
    <t>christmas-funny-pens</t>
  </si>
  <si>
    <t>21.3200</t>
  </si>
  <si>
    <t>PP260505018</t>
  </si>
  <si>
    <t>PP260505017</t>
  </si>
  <si>
    <t>PP260505016</t>
  </si>
  <si>
    <t>Moon Boat-EA-40个花环+20个手环20版</t>
  </si>
  <si>
    <t>27.6400</t>
  </si>
  <si>
    <t>PP260505015</t>
  </si>
  <si>
    <t>Renbuzhu-CL-宗教十字架捕光器42个26版</t>
  </si>
  <si>
    <t>Religious-Cross-Crafts-42pcs</t>
  </si>
  <si>
    <t>20.0450</t>
  </si>
  <si>
    <t>PP260505014</t>
  </si>
  <si>
    <t>PP260505013</t>
  </si>
  <si>
    <t>PP260505012</t>
  </si>
  <si>
    <t>Renbuzhu-CL-开学季苹果捕光器挂饰42个26版</t>
  </si>
  <si>
    <t>Apple-Paper-Craft</t>
  </si>
  <si>
    <t>PP260505011</t>
  </si>
  <si>
    <t>PP260505010</t>
  </si>
  <si>
    <t>PP260505009</t>
  </si>
  <si>
    <t>Maqiauly-ND-银色款基督服装盔甲卡片装饰15pcs26版</t>
  </si>
  <si>
    <t>Silver-Armor-of-God-Costume-card-decoration</t>
  </si>
  <si>
    <t>PP260505008</t>
  </si>
  <si>
    <t>JIT-贴纸-32cm-46cm-六九快印</t>
  </si>
  <si>
    <t>JIT-Stickers-1pcs</t>
  </si>
  <si>
    <t>PP260505006</t>
  </si>
  <si>
    <t>PP260505005</t>
  </si>
  <si>
    <t>Tieshankao-FW-鲜花麻将桌垫26版</t>
  </si>
  <si>
    <t>flower-mahjong-table-mat</t>
  </si>
  <si>
    <t>12.9550</t>
  </si>
  <si>
    <t>PP260505004</t>
  </si>
  <si>
    <t>PP260505003</t>
  </si>
  <si>
    <t>PP260505002</t>
  </si>
  <si>
    <t>Renbuzhu-CL-小雏菊瓢虫蜂窝装饰14pcs26版</t>
  </si>
  <si>
    <t>Daisy-Ladybug-Honeycomb-Party-Decoration</t>
  </si>
  <si>
    <t>16.2500</t>
  </si>
  <si>
    <t>PP260505001</t>
  </si>
  <si>
    <t>Renbuzhu-CL-爱心瓢虫蜂窝装饰14pcs26版</t>
  </si>
  <si>
    <t>Heart-Ladybug-Honeycomb-Party-Decoration</t>
  </si>
  <si>
    <t>15.8350</t>
  </si>
  <si>
    <t>PP260504012</t>
  </si>
  <si>
    <t>PP260504011</t>
  </si>
  <si>
    <t>Renbuzhu-CL-开学季铅笔苹果蜂窝27pcs25版</t>
  </si>
  <si>
    <t>back-to-school-pencil-apple-honeycomb</t>
  </si>
  <si>
    <t>29.7600</t>
  </si>
  <si>
    <t>PP260504010</t>
  </si>
  <si>
    <t>Renbuzhu-CL-开学季蜡笔苹果蜂窝24pcs26版</t>
  </si>
  <si>
    <t>back-to-school-crayon-apple-honeycomb-5</t>
  </si>
  <si>
    <t>26.8730</t>
  </si>
  <si>
    <t>PP260504009</t>
  </si>
  <si>
    <t>PP260504008</t>
  </si>
  <si>
    <t>Renbuzhu-CL-开学季学生表现挂袋26版</t>
  </si>
  <si>
    <t>Back-to-school-student-behavior-bag</t>
  </si>
  <si>
    <t>20.5800</t>
  </si>
  <si>
    <t>PP260504007</t>
  </si>
  <si>
    <t>PP260504006</t>
  </si>
  <si>
    <t>PP260504005</t>
  </si>
  <si>
    <t>PP260504004</t>
  </si>
  <si>
    <t>80UncleKimby-PN-领养小狗派对diy房子28pcs26版</t>
  </si>
  <si>
    <t>Dog-Party-Boxes-Craft</t>
  </si>
  <si>
    <t>11.3450</t>
  </si>
  <si>
    <t>PP260504003</t>
  </si>
  <si>
    <t>Tieshankao-FW-鲜花毛毡桌面装饰13pcs26版</t>
  </si>
  <si>
    <t>fake-flower-table-decor</t>
  </si>
  <si>
    <t>14.5020</t>
  </si>
  <si>
    <t>PP260504002</t>
  </si>
  <si>
    <t>Moon Boat-EA-24个装花环+9对手环+18个头夹23版-亚拼</t>
  </si>
  <si>
    <t>25.8341</t>
  </si>
  <si>
    <t>PP260504001</t>
  </si>
  <si>
    <t>luck sea-YO-蜡笔抽绳袋子26个26版</t>
  </si>
  <si>
    <t>Dog-House-Boxes</t>
  </si>
  <si>
    <t>28.0600</t>
  </si>
  <si>
    <t>月份</t>
  </si>
  <si>
    <t>采购量</t>
  </si>
  <si>
    <t>采购量占比</t>
  </si>
  <si>
    <t>采购量总和</t>
  </si>
  <si>
    <t>采购金额</t>
  </si>
  <si>
    <t>采购金额占比</t>
  </si>
  <si>
    <t>采购金额总和</t>
  </si>
  <si>
    <t>年月</t>
  </si>
  <si>
    <t>25.5</t>
  </si>
  <si>
    <t>广州出货</t>
  </si>
  <si>
    <t>义乌出货</t>
  </si>
  <si>
    <t>合计</t>
  </si>
  <si>
    <t>26.5</t>
  </si>
  <si>
    <t>25年和26年差异值</t>
  </si>
  <si>
    <t>求和项:计划采购量</t>
  </si>
  <si>
    <t>求和项:采购总额</t>
  </si>
  <si>
    <t>数量占比</t>
  </si>
  <si>
    <t>金额占比</t>
  </si>
  <si>
    <t>计划采购量占比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</si>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</sst>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4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b/>
      <sz val="10"/>
      <color theme="1"/>
      <name val="Microsoft YaHei"/>
      <charset val="134"/>
    </font>
    <font>
      <b/>
      <sz val="10"/>
      <color rgb="FF000000"/>
      <name val="Microsoft YaHei"/>
      <charset val="134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1"/>
      <color rgb="FF417FF9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30C0B4"/>
        <bgColor rgb="FF30C0B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10" borderId="7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8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2" fillId="0" borderId="0">
      <alignment vertical="center"/>
    </xf>
    <xf numFmtId="0" fontId="23" fillId="11" borderId="10">
      <alignment vertical="center"/>
    </xf>
    <xf numFmtId="0" fontId="24" fillId="12" borderId="11">
      <alignment vertical="center"/>
    </xf>
    <xf numFmtId="0" fontId="25" fillId="12" borderId="10">
      <alignment vertical="center"/>
    </xf>
    <xf numFmtId="0" fontId="26" fillId="13" borderId="12">
      <alignment vertical="center"/>
    </xf>
    <xf numFmtId="0" fontId="27" fillId="0" borderId="13">
      <alignment vertical="center"/>
    </xf>
    <xf numFmtId="0" fontId="28" fillId="0" borderId="14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  <xf numFmtId="0" fontId="32" fillId="7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  <xf numFmtId="0" fontId="32" fillId="8" borderId="0">
      <alignment vertical="center"/>
    </xf>
    <xf numFmtId="0" fontId="33" fillId="36" borderId="0">
      <alignment vertical="center"/>
    </xf>
    <xf numFmtId="0" fontId="33" fillId="37" borderId="0">
      <alignment vertical="center"/>
    </xf>
    <xf numFmtId="0" fontId="32" fillId="38" borderId="0">
      <alignment vertical="center"/>
    </xf>
  </cellStyleXfs>
  <cellXfs count="75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0" fontId="4" fillId="3" borderId="0" xfId="0" applyNumberFormat="1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0" fontId="0" fillId="5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0" fontId="0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0" fontId="5" fillId="0" borderId="0" xfId="3" applyNumberFormat="1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5" fillId="6" borderId="0" xfId="0" applyNumberFormat="1" applyFont="1" applyFill="1" applyAlignment="1">
      <alignment horizontal="center" vertical="center"/>
    </xf>
    <xf numFmtId="10" fontId="5" fillId="6" borderId="0" xfId="3" applyNumberFormat="1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0" fillId="7" borderId="0" xfId="0" applyFill="1" applyAlignment="1"/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6" fillId="6" borderId="1" xfId="0" applyFont="1" applyFill="1" applyBorder="1" applyAlignment="1">
      <alignment horizontal="center" vertical="center"/>
    </xf>
    <xf numFmtId="10" fontId="7" fillId="0" borderId="1" xfId="3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7" fillId="0" borderId="0" xfId="3" applyNumberFormat="1" applyFont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4" xfId="0" applyBorder="1" applyAlignment="1"/>
    <xf numFmtId="0" fontId="10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0" fontId="7" fillId="9" borderId="1" xfId="3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7" fillId="0" borderId="1" xfId="0" applyFont="1" applyBorder="1" applyAlignment="1">
      <alignment horizontal="center" vertical="center"/>
    </xf>
    <xf numFmtId="10" fontId="7" fillId="9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/>
    <xf numFmtId="37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14" fillId="0" borderId="1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37" fontId="12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5"/>
  <sheetViews>
    <sheetView zoomScale="85" zoomScaleNormal="85" workbookViewId="0">
      <pane ySplit="1" topLeftCell="A37" activePane="bottomLeft" state="frozen"/>
      <selection/>
      <selection pane="bottomLeft" activeCell="F51" sqref="F51"/>
    </sheetView>
  </sheetViews>
  <sheetFormatPr defaultColWidth="9" defaultRowHeight="13.5"/>
  <cols>
    <col min="1" max="1" width="13.25" style="61" customWidth="1"/>
    <col min="2" max="2" width="10.625" style="61" customWidth="1"/>
    <col min="3" max="3" width="8.66666666666667" style="61" customWidth="1"/>
    <col min="4" max="4" width="10.2916666666667" style="61" customWidth="1"/>
    <col min="5" max="5" width="49.7083333333333" style="61" customWidth="1"/>
    <col min="6" max="6" width="13.25" style="61" customWidth="1"/>
    <col min="7" max="7" width="14.85" style="59" customWidth="1"/>
    <col min="8" max="8" width="10.5833333333333" style="59" customWidth="1"/>
    <col min="9" max="10" width="9" style="59" customWidth="1"/>
    <col min="11" max="11" width="12.0583333333333" style="59" customWidth="1"/>
    <col min="12" max="12" width="9.7" style="59" customWidth="1"/>
    <col min="13" max="16" width="21.4666666666667" style="59" customWidth="1"/>
    <col min="17" max="16384" width="9" style="59" customWidth="1"/>
  </cols>
  <sheetData>
    <row r="1" s="59" customFormat="1" ht="15" customHeight="1" spans="1:16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</row>
    <row r="2" s="59" customFormat="1" spans="1:16">
      <c r="A2" s="61" t="s">
        <v>16</v>
      </c>
      <c r="B2" s="61" t="s">
        <v>17</v>
      </c>
      <c r="D2" s="59" t="s">
        <v>18</v>
      </c>
      <c r="E2" s="61" t="s">
        <v>19</v>
      </c>
      <c r="F2" s="61" t="s">
        <v>20</v>
      </c>
      <c r="G2" s="61" t="s">
        <v>21</v>
      </c>
      <c r="H2" s="73">
        <v>300</v>
      </c>
      <c r="J2" s="59">
        <v>14.001</v>
      </c>
      <c r="K2" s="59">
        <v>4200.3</v>
      </c>
      <c r="L2" s="74" t="s">
        <v>22</v>
      </c>
      <c r="M2" s="74"/>
      <c r="N2" s="74"/>
      <c r="P2" s="59" t="s">
        <v>23</v>
      </c>
    </row>
    <row r="3" s="59" customFormat="1" spans="1:16">
      <c r="A3" s="61" t="s">
        <v>24</v>
      </c>
      <c r="B3" s="61" t="s">
        <v>17</v>
      </c>
      <c r="D3" s="59" t="s">
        <v>18</v>
      </c>
      <c r="E3" s="61" t="s">
        <v>25</v>
      </c>
      <c r="F3" s="61" t="s">
        <v>26</v>
      </c>
      <c r="G3" s="61" t="s">
        <v>21</v>
      </c>
      <c r="H3" s="73">
        <v>300</v>
      </c>
      <c r="J3" s="59">
        <v>11.845</v>
      </c>
      <c r="K3" s="59">
        <v>3553.5</v>
      </c>
      <c r="L3" s="74" t="s">
        <v>22</v>
      </c>
      <c r="P3" s="59" t="s">
        <v>23</v>
      </c>
    </row>
    <row r="4" s="59" customFormat="1" spans="1:16">
      <c r="A4" s="61" t="s">
        <v>27</v>
      </c>
      <c r="B4" s="61" t="s">
        <v>17</v>
      </c>
      <c r="D4" s="59" t="s">
        <v>28</v>
      </c>
      <c r="E4" s="61" t="s">
        <v>29</v>
      </c>
      <c r="F4" s="61" t="s">
        <v>30</v>
      </c>
      <c r="G4" s="61" t="s">
        <v>23</v>
      </c>
      <c r="H4" s="73">
        <v>150</v>
      </c>
      <c r="J4" s="59">
        <v>17</v>
      </c>
      <c r="K4" s="59">
        <v>2550</v>
      </c>
      <c r="L4" s="74" t="s">
        <v>31</v>
      </c>
      <c r="M4" s="74" t="s">
        <v>32</v>
      </c>
      <c r="N4" s="74" t="s">
        <v>23</v>
      </c>
      <c r="O4" s="74" t="s">
        <v>32</v>
      </c>
      <c r="P4" s="59" t="s">
        <v>23</v>
      </c>
    </row>
    <row r="5" s="59" customFormat="1" spans="1:16">
      <c r="A5" s="61" t="s">
        <v>33</v>
      </c>
      <c r="B5" s="61" t="s">
        <v>17</v>
      </c>
      <c r="D5" s="59" t="s">
        <v>28</v>
      </c>
      <c r="E5" s="61" t="s">
        <v>34</v>
      </c>
      <c r="F5" s="61" t="s">
        <v>35</v>
      </c>
      <c r="G5" s="61" t="s">
        <v>23</v>
      </c>
      <c r="H5" s="73">
        <v>150</v>
      </c>
      <c r="J5" s="59">
        <v>5.3</v>
      </c>
      <c r="K5" s="59">
        <v>795</v>
      </c>
      <c r="L5" s="74" t="s">
        <v>31</v>
      </c>
      <c r="M5" s="74" t="s">
        <v>32</v>
      </c>
      <c r="N5" s="74" t="s">
        <v>23</v>
      </c>
      <c r="O5" s="74" t="s">
        <v>32</v>
      </c>
      <c r="P5" s="59" t="s">
        <v>23</v>
      </c>
    </row>
    <row r="6" s="59" customFormat="1" spans="1:16">
      <c r="A6" s="61" t="s">
        <v>36</v>
      </c>
      <c r="B6" s="61" t="s">
        <v>17</v>
      </c>
      <c r="D6" s="59" t="s">
        <v>28</v>
      </c>
      <c r="E6" s="61" t="s">
        <v>37</v>
      </c>
      <c r="F6" s="61" t="s">
        <v>38</v>
      </c>
      <c r="G6" s="61" t="s">
        <v>23</v>
      </c>
      <c r="H6" s="73">
        <v>150</v>
      </c>
      <c r="J6" s="59">
        <v>5.3</v>
      </c>
      <c r="K6" s="59">
        <v>795</v>
      </c>
      <c r="L6" s="74" t="s">
        <v>31</v>
      </c>
      <c r="M6" s="74" t="s">
        <v>32</v>
      </c>
      <c r="N6" s="74" t="s">
        <v>23</v>
      </c>
      <c r="O6" s="74" t="s">
        <v>32</v>
      </c>
      <c r="P6" s="59" t="s">
        <v>23</v>
      </c>
    </row>
    <row r="7" s="59" customFormat="1" spans="1:16">
      <c r="A7" s="61" t="s">
        <v>39</v>
      </c>
      <c r="B7" s="61" t="s">
        <v>17</v>
      </c>
      <c r="D7" s="59" t="s">
        <v>28</v>
      </c>
      <c r="E7" s="61" t="s">
        <v>40</v>
      </c>
      <c r="F7" s="61" t="s">
        <v>41</v>
      </c>
      <c r="G7" s="61" t="s">
        <v>23</v>
      </c>
      <c r="H7" s="73">
        <v>150</v>
      </c>
      <c r="J7" s="59">
        <v>5.2</v>
      </c>
      <c r="K7" s="59">
        <v>780</v>
      </c>
      <c r="L7" s="74" t="s">
        <v>31</v>
      </c>
      <c r="M7" s="74" t="s">
        <v>32</v>
      </c>
      <c r="N7" s="74" t="s">
        <v>23</v>
      </c>
      <c r="O7" s="74" t="s">
        <v>32</v>
      </c>
      <c r="P7" s="59" t="s">
        <v>23</v>
      </c>
    </row>
    <row r="8" s="59" customFormat="1" spans="1:16">
      <c r="A8" s="61" t="s">
        <v>42</v>
      </c>
      <c r="B8" s="61" t="s">
        <v>17</v>
      </c>
      <c r="D8" s="59" t="s">
        <v>28</v>
      </c>
      <c r="E8" s="61" t="s">
        <v>43</v>
      </c>
      <c r="F8" s="61" t="s">
        <v>44</v>
      </c>
      <c r="G8" s="61" t="s">
        <v>23</v>
      </c>
      <c r="H8" s="73">
        <v>150</v>
      </c>
      <c r="J8" s="59">
        <v>5.2</v>
      </c>
      <c r="K8" s="59">
        <v>780</v>
      </c>
      <c r="L8" s="74" t="s">
        <v>31</v>
      </c>
      <c r="M8" s="74" t="s">
        <v>32</v>
      </c>
      <c r="N8" s="74" t="s">
        <v>23</v>
      </c>
      <c r="O8" s="74" t="s">
        <v>32</v>
      </c>
      <c r="P8" s="59" t="s">
        <v>23</v>
      </c>
    </row>
    <row r="9" s="59" customFormat="1" spans="1:16">
      <c r="A9" s="61" t="s">
        <v>45</v>
      </c>
      <c r="B9" s="61" t="s">
        <v>17</v>
      </c>
      <c r="D9" s="59" t="s">
        <v>28</v>
      </c>
      <c r="E9" s="61" t="s">
        <v>46</v>
      </c>
      <c r="F9" s="61" t="s">
        <v>47</v>
      </c>
      <c r="G9" s="61" t="s">
        <v>23</v>
      </c>
      <c r="H9" s="73">
        <v>100</v>
      </c>
      <c r="J9" s="59">
        <v>5.6</v>
      </c>
      <c r="K9" s="59">
        <v>560</v>
      </c>
      <c r="L9" s="74" t="s">
        <v>31</v>
      </c>
      <c r="M9" s="74" t="s">
        <v>32</v>
      </c>
      <c r="N9" s="74" t="s">
        <v>23</v>
      </c>
      <c r="O9" s="74" t="s">
        <v>32</v>
      </c>
      <c r="P9" s="59" t="s">
        <v>23</v>
      </c>
    </row>
    <row r="10" s="59" customFormat="1" spans="1:16">
      <c r="A10" s="61" t="s">
        <v>48</v>
      </c>
      <c r="B10" s="61" t="s">
        <v>49</v>
      </c>
      <c r="D10" s="59" t="s">
        <v>18</v>
      </c>
      <c r="E10" s="61" t="s">
        <v>50</v>
      </c>
      <c r="F10" s="61" t="s">
        <v>51</v>
      </c>
      <c r="G10" s="61" t="s">
        <v>21</v>
      </c>
      <c r="H10" s="73">
        <v>400</v>
      </c>
      <c r="J10" s="59">
        <v>22</v>
      </c>
      <c r="K10" s="59">
        <v>8800</v>
      </c>
      <c r="L10" s="74" t="s">
        <v>31</v>
      </c>
      <c r="M10" s="74" t="s">
        <v>52</v>
      </c>
      <c r="N10" s="74" t="s">
        <v>23</v>
      </c>
      <c r="O10" s="74" t="s">
        <v>52</v>
      </c>
      <c r="P10" s="59" t="s">
        <v>23</v>
      </c>
    </row>
    <row r="11" s="59" customFormat="1" spans="1:16">
      <c r="A11" s="61" t="s">
        <v>53</v>
      </c>
      <c r="B11" s="61" t="s">
        <v>17</v>
      </c>
      <c r="D11" s="59" t="s">
        <v>28</v>
      </c>
      <c r="E11" s="61" t="s">
        <v>54</v>
      </c>
      <c r="F11" s="61" t="s">
        <v>55</v>
      </c>
      <c r="G11" s="61" t="s">
        <v>21</v>
      </c>
      <c r="H11" s="73">
        <v>30</v>
      </c>
      <c r="J11" s="59">
        <v>15.545</v>
      </c>
      <c r="K11" s="59">
        <v>466.35</v>
      </c>
      <c r="L11" s="74" t="s">
        <v>31</v>
      </c>
      <c r="M11" s="74" t="s">
        <v>32</v>
      </c>
      <c r="N11" s="74" t="s">
        <v>23</v>
      </c>
      <c r="O11" s="74" t="s">
        <v>32</v>
      </c>
      <c r="P11" s="59" t="s">
        <v>23</v>
      </c>
    </row>
    <row r="12" s="59" customFormat="1" spans="1:16">
      <c r="A12" s="61" t="s">
        <v>56</v>
      </c>
      <c r="B12" s="61" t="s">
        <v>17</v>
      </c>
      <c r="D12" s="59" t="s">
        <v>18</v>
      </c>
      <c r="E12" s="61" t="s">
        <v>54</v>
      </c>
      <c r="F12" s="61" t="s">
        <v>55</v>
      </c>
      <c r="G12" s="61" t="s">
        <v>21</v>
      </c>
      <c r="H12" s="73">
        <v>300</v>
      </c>
      <c r="J12" s="59">
        <v>15.545</v>
      </c>
      <c r="K12" s="59">
        <v>4663.5</v>
      </c>
      <c r="L12" s="74" t="s">
        <v>22</v>
      </c>
      <c r="P12" s="59" t="s">
        <v>23</v>
      </c>
    </row>
    <row r="13" s="59" customFormat="1" spans="1:16">
      <c r="A13" s="61" t="s">
        <v>57</v>
      </c>
      <c r="B13" s="61" t="s">
        <v>58</v>
      </c>
      <c r="D13" s="59" t="s">
        <v>28</v>
      </c>
      <c r="E13" s="61" t="s">
        <v>59</v>
      </c>
      <c r="F13" s="61" t="s">
        <v>60</v>
      </c>
      <c r="G13" s="61" t="s">
        <v>21</v>
      </c>
      <c r="H13" s="73">
        <v>30</v>
      </c>
      <c r="J13" s="59">
        <v>15.5</v>
      </c>
      <c r="K13" s="59">
        <v>465</v>
      </c>
      <c r="L13" s="74" t="s">
        <v>31</v>
      </c>
      <c r="M13" s="74" t="s">
        <v>32</v>
      </c>
      <c r="N13" s="74" t="s">
        <v>23</v>
      </c>
      <c r="O13" s="74" t="s">
        <v>32</v>
      </c>
      <c r="P13" s="59" t="s">
        <v>23</v>
      </c>
    </row>
    <row r="14" s="59" customFormat="1" spans="1:16">
      <c r="A14" s="61" t="s">
        <v>61</v>
      </c>
      <c r="B14" s="61" t="s">
        <v>58</v>
      </c>
      <c r="D14" s="59" t="s">
        <v>18</v>
      </c>
      <c r="E14" s="61" t="s">
        <v>59</v>
      </c>
      <c r="F14" s="61" t="s">
        <v>60</v>
      </c>
      <c r="G14" s="61" t="s">
        <v>21</v>
      </c>
      <c r="H14" s="73">
        <v>300</v>
      </c>
      <c r="J14" s="59">
        <v>15.5</v>
      </c>
      <c r="K14" s="59">
        <v>4650</v>
      </c>
      <c r="L14" s="74" t="s">
        <v>31</v>
      </c>
      <c r="M14" s="74" t="s">
        <v>52</v>
      </c>
      <c r="N14" s="74" t="s">
        <v>23</v>
      </c>
      <c r="O14" s="74" t="s">
        <v>52</v>
      </c>
      <c r="P14" s="59" t="s">
        <v>23</v>
      </c>
    </row>
    <row r="15" s="59" customFormat="1" spans="1:16">
      <c r="A15" s="61" t="s">
        <v>62</v>
      </c>
      <c r="B15" s="61" t="s">
        <v>17</v>
      </c>
      <c r="D15" s="59" t="s">
        <v>18</v>
      </c>
      <c r="E15" s="61" t="s">
        <v>63</v>
      </c>
      <c r="F15" s="61" t="s">
        <v>64</v>
      </c>
      <c r="G15" s="61" t="s">
        <v>21</v>
      </c>
      <c r="H15" s="73">
        <v>300</v>
      </c>
      <c r="J15" s="59">
        <v>21.155</v>
      </c>
      <c r="K15" s="59">
        <v>6346.5</v>
      </c>
      <c r="L15" s="74" t="s">
        <v>31</v>
      </c>
      <c r="M15" s="74" t="s">
        <v>52</v>
      </c>
      <c r="N15" s="74" t="s">
        <v>23</v>
      </c>
      <c r="O15" s="74" t="s">
        <v>52</v>
      </c>
      <c r="P15" s="59" t="s">
        <v>23</v>
      </c>
    </row>
    <row r="16" s="59" customFormat="1" spans="1:16">
      <c r="A16" s="61" t="s">
        <v>65</v>
      </c>
      <c r="B16" s="61" t="s">
        <v>17</v>
      </c>
      <c r="D16" s="59" t="s">
        <v>28</v>
      </c>
      <c r="E16" s="61" t="s">
        <v>63</v>
      </c>
      <c r="F16" s="61" t="s">
        <v>64</v>
      </c>
      <c r="G16" s="61" t="s">
        <v>21</v>
      </c>
      <c r="H16" s="73">
        <v>50</v>
      </c>
      <c r="J16" s="59">
        <v>21.155</v>
      </c>
      <c r="K16" s="59">
        <v>1057.75</v>
      </c>
      <c r="L16" s="74" t="s">
        <v>31</v>
      </c>
      <c r="M16" s="74" t="s">
        <v>32</v>
      </c>
      <c r="N16" s="74" t="s">
        <v>23</v>
      </c>
      <c r="O16" s="74" t="s">
        <v>32</v>
      </c>
      <c r="P16" s="59" t="s">
        <v>23</v>
      </c>
    </row>
    <row r="17" s="59" customFormat="1" spans="1:16">
      <c r="A17" s="61" t="s">
        <v>66</v>
      </c>
      <c r="B17" s="61" t="s">
        <v>58</v>
      </c>
      <c r="D17" s="59" t="s">
        <v>18</v>
      </c>
      <c r="E17" s="61" t="s">
        <v>67</v>
      </c>
      <c r="F17" s="61" t="s">
        <v>68</v>
      </c>
      <c r="G17" s="61" t="s">
        <v>21</v>
      </c>
      <c r="H17" s="73">
        <v>300</v>
      </c>
      <c r="J17" s="59">
        <v>18.35</v>
      </c>
      <c r="K17" s="59">
        <v>5505</v>
      </c>
      <c r="L17" s="74" t="s">
        <v>31</v>
      </c>
      <c r="M17" s="74" t="s">
        <v>52</v>
      </c>
      <c r="N17" s="74" t="s">
        <v>23</v>
      </c>
      <c r="O17" s="74" t="s">
        <v>52</v>
      </c>
      <c r="P17" s="59" t="s">
        <v>23</v>
      </c>
    </row>
    <row r="18" s="59" customFormat="1" spans="1:16">
      <c r="A18" s="61" t="s">
        <v>69</v>
      </c>
      <c r="B18" s="61" t="s">
        <v>58</v>
      </c>
      <c r="D18" s="59" t="s">
        <v>18</v>
      </c>
      <c r="E18" s="61" t="s">
        <v>70</v>
      </c>
      <c r="F18" s="61" t="s">
        <v>71</v>
      </c>
      <c r="G18" s="61" t="s">
        <v>21</v>
      </c>
      <c r="H18" s="73">
        <v>200</v>
      </c>
      <c r="J18" s="59">
        <v>32.4</v>
      </c>
      <c r="K18" s="59">
        <v>6480</v>
      </c>
      <c r="L18" s="74" t="s">
        <v>31</v>
      </c>
      <c r="M18" s="74" t="s">
        <v>52</v>
      </c>
      <c r="N18" s="74" t="s">
        <v>23</v>
      </c>
      <c r="O18" s="74" t="s">
        <v>52</v>
      </c>
      <c r="P18" s="59" t="s">
        <v>23</v>
      </c>
    </row>
    <row r="19" s="59" customFormat="1" spans="1:16">
      <c r="A19" s="61" t="s">
        <v>72</v>
      </c>
      <c r="B19" s="61" t="s">
        <v>17</v>
      </c>
      <c r="D19" s="59" t="s">
        <v>18</v>
      </c>
      <c r="E19" s="61" t="s">
        <v>73</v>
      </c>
      <c r="F19" s="61" t="s">
        <v>74</v>
      </c>
      <c r="G19" s="61" t="s">
        <v>21</v>
      </c>
      <c r="H19" s="73">
        <v>100</v>
      </c>
      <c r="J19" s="59">
        <v>24.6</v>
      </c>
      <c r="K19" s="59">
        <v>2460</v>
      </c>
      <c r="L19" s="74" t="s">
        <v>31</v>
      </c>
      <c r="M19" s="74" t="s">
        <v>75</v>
      </c>
      <c r="N19" s="74" t="s">
        <v>23</v>
      </c>
      <c r="O19" s="74" t="s">
        <v>75</v>
      </c>
      <c r="P19" s="59" t="s">
        <v>23</v>
      </c>
    </row>
    <row r="20" s="59" customFormat="1" spans="1:16">
      <c r="A20" s="61" t="s">
        <v>76</v>
      </c>
      <c r="B20" s="61" t="s">
        <v>17</v>
      </c>
      <c r="D20" s="59" t="s">
        <v>18</v>
      </c>
      <c r="E20" s="61" t="s">
        <v>77</v>
      </c>
      <c r="F20" s="61" t="s">
        <v>78</v>
      </c>
      <c r="G20" s="61" t="s">
        <v>21</v>
      </c>
      <c r="H20" s="73">
        <v>500</v>
      </c>
      <c r="J20" s="59">
        <v>13</v>
      </c>
      <c r="K20" s="59">
        <v>6500</v>
      </c>
      <c r="L20" s="74" t="s">
        <v>31</v>
      </c>
      <c r="M20" s="74" t="s">
        <v>52</v>
      </c>
      <c r="N20" s="74" t="s">
        <v>23</v>
      </c>
      <c r="O20" s="74" t="s">
        <v>52</v>
      </c>
      <c r="P20" s="59" t="s">
        <v>23</v>
      </c>
    </row>
    <row r="21" s="59" customFormat="1" spans="1:16">
      <c r="A21" s="61" t="s">
        <v>79</v>
      </c>
      <c r="B21" s="61" t="s">
        <v>17</v>
      </c>
      <c r="D21" s="59" t="s">
        <v>28</v>
      </c>
      <c r="E21" s="61" t="s">
        <v>77</v>
      </c>
      <c r="F21" s="61" t="s">
        <v>78</v>
      </c>
      <c r="G21" s="61" t="s">
        <v>21</v>
      </c>
      <c r="H21" s="73">
        <v>50</v>
      </c>
      <c r="J21" s="59">
        <v>13</v>
      </c>
      <c r="K21" s="59">
        <v>650</v>
      </c>
      <c r="L21" s="74" t="s">
        <v>31</v>
      </c>
      <c r="M21" s="74" t="s">
        <v>32</v>
      </c>
      <c r="N21" s="74" t="s">
        <v>23</v>
      </c>
      <c r="O21" s="74" t="s">
        <v>32</v>
      </c>
      <c r="P21" s="59" t="s">
        <v>23</v>
      </c>
    </row>
    <row r="22" s="59" customFormat="1" spans="1:16">
      <c r="A22" s="61" t="s">
        <v>80</v>
      </c>
      <c r="B22" s="61" t="s">
        <v>17</v>
      </c>
      <c r="D22" s="59" t="s">
        <v>18</v>
      </c>
      <c r="E22" s="61" t="s">
        <v>81</v>
      </c>
      <c r="F22" s="61" t="s">
        <v>82</v>
      </c>
      <c r="G22" s="61" t="s">
        <v>21</v>
      </c>
      <c r="H22" s="73">
        <v>80</v>
      </c>
      <c r="J22" s="59">
        <v>18.505</v>
      </c>
      <c r="K22" s="59">
        <v>1480.4</v>
      </c>
      <c r="L22" s="74" t="s">
        <v>31</v>
      </c>
      <c r="M22" s="74" t="s">
        <v>75</v>
      </c>
      <c r="N22" s="74" t="s">
        <v>23</v>
      </c>
      <c r="O22" s="74" t="s">
        <v>75</v>
      </c>
      <c r="P22" s="59" t="s">
        <v>23</v>
      </c>
    </row>
    <row r="23" s="59" customFormat="1" spans="1:16">
      <c r="A23" s="61" t="s">
        <v>83</v>
      </c>
      <c r="B23" s="61" t="s">
        <v>17</v>
      </c>
      <c r="D23" s="59" t="s">
        <v>18</v>
      </c>
      <c r="E23" s="61" t="s">
        <v>81</v>
      </c>
      <c r="F23" s="61" t="s">
        <v>82</v>
      </c>
      <c r="G23" s="61" t="s">
        <v>21</v>
      </c>
      <c r="H23" s="73">
        <v>500</v>
      </c>
      <c r="J23" s="59">
        <v>18.505</v>
      </c>
      <c r="K23" s="59">
        <v>9252.5</v>
      </c>
      <c r="L23" s="74" t="s">
        <v>31</v>
      </c>
      <c r="M23" s="74" t="s">
        <v>75</v>
      </c>
      <c r="N23" s="74" t="s">
        <v>23</v>
      </c>
      <c r="O23" s="74" t="s">
        <v>75</v>
      </c>
      <c r="P23" s="59" t="s">
        <v>23</v>
      </c>
    </row>
    <row r="24" s="59" customFormat="1" spans="1:16">
      <c r="A24" s="61" t="s">
        <v>84</v>
      </c>
      <c r="B24" s="61" t="s">
        <v>17</v>
      </c>
      <c r="D24" s="59" t="s">
        <v>28</v>
      </c>
      <c r="E24" s="61" t="s">
        <v>85</v>
      </c>
      <c r="F24" s="61" t="s">
        <v>86</v>
      </c>
      <c r="G24" s="61" t="s">
        <v>23</v>
      </c>
      <c r="H24" s="73">
        <v>372</v>
      </c>
      <c r="J24" s="59">
        <v>14.8</v>
      </c>
      <c r="K24" s="59">
        <v>5505.6</v>
      </c>
      <c r="L24" s="74" t="s">
        <v>31</v>
      </c>
      <c r="M24" s="74" t="s">
        <v>32</v>
      </c>
      <c r="N24" s="74" t="s">
        <v>23</v>
      </c>
      <c r="O24" s="74" t="s">
        <v>32</v>
      </c>
      <c r="P24" s="59" t="s">
        <v>23</v>
      </c>
    </row>
    <row r="25" s="59" customFormat="1" spans="1:16">
      <c r="A25" s="61" t="s">
        <v>87</v>
      </c>
      <c r="B25" s="61" t="s">
        <v>17</v>
      </c>
      <c r="D25" s="59" t="s">
        <v>28</v>
      </c>
      <c r="E25" s="61" t="s">
        <v>88</v>
      </c>
      <c r="F25" s="61" t="s">
        <v>89</v>
      </c>
      <c r="G25" s="61" t="s">
        <v>21</v>
      </c>
      <c r="H25" s="73">
        <v>150</v>
      </c>
      <c r="J25" s="59">
        <v>19.2</v>
      </c>
      <c r="K25" s="59">
        <v>2880</v>
      </c>
      <c r="L25" s="74" t="s">
        <v>31</v>
      </c>
      <c r="M25" s="74" t="s">
        <v>32</v>
      </c>
      <c r="N25" s="74" t="s">
        <v>23</v>
      </c>
      <c r="O25" s="74" t="s">
        <v>32</v>
      </c>
      <c r="P25" s="59" t="s">
        <v>23</v>
      </c>
    </row>
    <row r="26" s="59" customFormat="1" spans="1:16">
      <c r="A26" s="61" t="s">
        <v>90</v>
      </c>
      <c r="B26" s="61" t="s">
        <v>17</v>
      </c>
      <c r="D26" s="59" t="s">
        <v>28</v>
      </c>
      <c r="E26" s="61" t="s">
        <v>91</v>
      </c>
      <c r="F26" s="61" t="s">
        <v>92</v>
      </c>
      <c r="G26" s="61" t="s">
        <v>23</v>
      </c>
      <c r="H26" s="73">
        <v>30</v>
      </c>
      <c r="J26" s="59">
        <v>5</v>
      </c>
      <c r="K26" s="59">
        <v>150</v>
      </c>
      <c r="L26" s="74" t="s">
        <v>31</v>
      </c>
      <c r="M26" s="74" t="s">
        <v>32</v>
      </c>
      <c r="N26" s="74" t="s">
        <v>23</v>
      </c>
      <c r="O26" s="74" t="s">
        <v>32</v>
      </c>
      <c r="P26" s="59" t="s">
        <v>23</v>
      </c>
    </row>
    <row r="27" s="59" customFormat="1" spans="1:16">
      <c r="A27" s="61" t="s">
        <v>93</v>
      </c>
      <c r="B27" s="61" t="s">
        <v>17</v>
      </c>
      <c r="D27" s="59" t="s">
        <v>18</v>
      </c>
      <c r="E27" s="61" t="s">
        <v>94</v>
      </c>
      <c r="F27" s="61" t="s">
        <v>95</v>
      </c>
      <c r="G27" s="61" t="s">
        <v>21</v>
      </c>
      <c r="H27" s="73">
        <v>300</v>
      </c>
      <c r="J27" s="59">
        <v>25.692</v>
      </c>
      <c r="K27" s="59">
        <v>7707.6</v>
      </c>
      <c r="L27" s="74" t="s">
        <v>31</v>
      </c>
      <c r="M27" s="74" t="s">
        <v>52</v>
      </c>
      <c r="N27" s="74" t="s">
        <v>23</v>
      </c>
      <c r="O27" s="74" t="s">
        <v>52</v>
      </c>
      <c r="P27" s="59" t="s">
        <v>23</v>
      </c>
    </row>
    <row r="28" s="59" customFormat="1" spans="1:16">
      <c r="A28" s="61" t="s">
        <v>96</v>
      </c>
      <c r="B28" s="61" t="s">
        <v>17</v>
      </c>
      <c r="D28" s="59" t="s">
        <v>28</v>
      </c>
      <c r="E28" s="61" t="s">
        <v>97</v>
      </c>
      <c r="F28" s="61" t="s">
        <v>98</v>
      </c>
      <c r="G28" s="61" t="s">
        <v>21</v>
      </c>
      <c r="H28" s="73">
        <v>100</v>
      </c>
      <c r="J28" s="59">
        <v>30.9816</v>
      </c>
      <c r="K28" s="59">
        <v>3098.16</v>
      </c>
      <c r="L28" s="74" t="s">
        <v>31</v>
      </c>
      <c r="M28" s="74" t="s">
        <v>32</v>
      </c>
      <c r="N28" s="74" t="s">
        <v>23</v>
      </c>
      <c r="O28" s="74" t="s">
        <v>32</v>
      </c>
      <c r="P28" s="59" t="s">
        <v>23</v>
      </c>
    </row>
    <row r="29" s="59" customFormat="1" spans="1:16">
      <c r="A29" s="61" t="s">
        <v>99</v>
      </c>
      <c r="B29" s="61" t="s">
        <v>17</v>
      </c>
      <c r="D29" s="59" t="s">
        <v>28</v>
      </c>
      <c r="E29" s="61" t="s">
        <v>100</v>
      </c>
      <c r="F29" s="61" t="s">
        <v>101</v>
      </c>
      <c r="G29" s="61" t="s">
        <v>23</v>
      </c>
      <c r="H29" s="73">
        <v>200</v>
      </c>
      <c r="J29" s="59">
        <v>4.9563</v>
      </c>
      <c r="K29" s="59">
        <v>991.26</v>
      </c>
      <c r="L29" s="74" t="s">
        <v>31</v>
      </c>
      <c r="M29" s="74" t="s">
        <v>32</v>
      </c>
      <c r="N29" s="74" t="s">
        <v>23</v>
      </c>
      <c r="O29" s="74" t="s">
        <v>32</v>
      </c>
      <c r="P29" s="59" t="s">
        <v>23</v>
      </c>
    </row>
    <row r="30" s="59" customFormat="1" spans="1:16">
      <c r="A30" s="61" t="s">
        <v>102</v>
      </c>
      <c r="B30" s="61" t="s">
        <v>17</v>
      </c>
      <c r="D30" s="59" t="s">
        <v>28</v>
      </c>
      <c r="E30" s="61" t="s">
        <v>103</v>
      </c>
      <c r="F30" s="61" t="s">
        <v>104</v>
      </c>
      <c r="G30" s="61" t="s">
        <v>23</v>
      </c>
      <c r="H30" s="73">
        <v>180</v>
      </c>
      <c r="J30" s="59">
        <v>4.9563</v>
      </c>
      <c r="K30" s="59">
        <v>892.134</v>
      </c>
      <c r="L30" s="74" t="s">
        <v>31</v>
      </c>
      <c r="M30" s="74" t="s">
        <v>32</v>
      </c>
      <c r="N30" s="74" t="s">
        <v>23</v>
      </c>
      <c r="O30" s="74" t="s">
        <v>32</v>
      </c>
      <c r="P30" s="59" t="s">
        <v>23</v>
      </c>
    </row>
    <row r="31" s="59" customFormat="1" spans="1:16">
      <c r="A31" s="61" t="s">
        <v>105</v>
      </c>
      <c r="B31" s="61" t="s">
        <v>49</v>
      </c>
      <c r="D31" s="59" t="s">
        <v>18</v>
      </c>
      <c r="E31" s="61" t="s">
        <v>106</v>
      </c>
      <c r="F31" s="61" t="s">
        <v>107</v>
      </c>
      <c r="G31" s="61" t="s">
        <v>21</v>
      </c>
      <c r="H31" s="73">
        <v>30</v>
      </c>
      <c r="J31" s="59">
        <v>26</v>
      </c>
      <c r="K31" s="59">
        <v>780</v>
      </c>
      <c r="L31" s="74" t="s">
        <v>31</v>
      </c>
      <c r="M31" s="74" t="s">
        <v>52</v>
      </c>
      <c r="N31" s="74" t="s">
        <v>23</v>
      </c>
      <c r="O31" s="74" t="s">
        <v>52</v>
      </c>
      <c r="P31" s="59" t="s">
        <v>23</v>
      </c>
    </row>
    <row r="32" s="59" customFormat="1" spans="1:16">
      <c r="A32" s="61" t="s">
        <v>108</v>
      </c>
      <c r="B32" s="61" t="s">
        <v>49</v>
      </c>
      <c r="D32" s="59" t="s">
        <v>28</v>
      </c>
      <c r="E32" s="61" t="s">
        <v>106</v>
      </c>
      <c r="F32" s="61" t="s">
        <v>107</v>
      </c>
      <c r="G32" s="61" t="s">
        <v>21</v>
      </c>
      <c r="H32" s="73">
        <v>300</v>
      </c>
      <c r="J32" s="59">
        <v>26</v>
      </c>
      <c r="K32" s="59">
        <v>7800</v>
      </c>
      <c r="L32" s="74" t="s">
        <v>31</v>
      </c>
      <c r="M32" s="74" t="s">
        <v>32</v>
      </c>
      <c r="N32" s="74" t="s">
        <v>23</v>
      </c>
      <c r="O32" s="74" t="s">
        <v>32</v>
      </c>
      <c r="P32" s="59" t="s">
        <v>23</v>
      </c>
    </row>
    <row r="33" s="59" customFormat="1" spans="1:16">
      <c r="A33" s="61" t="s">
        <v>109</v>
      </c>
      <c r="B33" s="61" t="s">
        <v>17</v>
      </c>
      <c r="D33" s="59" t="s">
        <v>28</v>
      </c>
      <c r="E33" s="61" t="s">
        <v>110</v>
      </c>
      <c r="F33" s="61" t="s">
        <v>111</v>
      </c>
      <c r="G33" s="61" t="s">
        <v>21</v>
      </c>
      <c r="H33" s="73">
        <v>250</v>
      </c>
      <c r="J33" s="59">
        <v>16.15</v>
      </c>
      <c r="K33" s="59">
        <v>4037.5</v>
      </c>
      <c r="L33" s="74" t="s">
        <v>31</v>
      </c>
      <c r="M33" s="74" t="s">
        <v>32</v>
      </c>
      <c r="N33" s="74" t="s">
        <v>23</v>
      </c>
      <c r="O33" s="74" t="s">
        <v>32</v>
      </c>
      <c r="P33" s="59" t="s">
        <v>23</v>
      </c>
    </row>
    <row r="34" s="59" customFormat="1" spans="1:16">
      <c r="A34" s="61" t="s">
        <v>112</v>
      </c>
      <c r="B34" s="61" t="s">
        <v>17</v>
      </c>
      <c r="D34" s="59" t="s">
        <v>18</v>
      </c>
      <c r="E34" s="61" t="s">
        <v>113</v>
      </c>
      <c r="F34" s="61" t="s">
        <v>114</v>
      </c>
      <c r="G34" s="61" t="s">
        <v>21</v>
      </c>
      <c r="H34" s="73">
        <v>300</v>
      </c>
      <c r="J34" s="59">
        <v>14.095</v>
      </c>
      <c r="K34" s="59">
        <v>4228.5</v>
      </c>
      <c r="L34" s="74" t="s">
        <v>31</v>
      </c>
      <c r="M34" s="74" t="s">
        <v>75</v>
      </c>
      <c r="N34" s="74" t="s">
        <v>23</v>
      </c>
      <c r="O34" s="74" t="s">
        <v>75</v>
      </c>
      <c r="P34" s="59" t="s">
        <v>23</v>
      </c>
    </row>
    <row r="35" s="59" customFormat="1" spans="1:16">
      <c r="A35" s="61" t="s">
        <v>115</v>
      </c>
      <c r="B35" s="61" t="s">
        <v>17</v>
      </c>
      <c r="D35" s="59" t="s">
        <v>18</v>
      </c>
      <c r="E35" s="61" t="s">
        <v>113</v>
      </c>
      <c r="F35" s="61" t="s">
        <v>114</v>
      </c>
      <c r="G35" s="61" t="s">
        <v>21</v>
      </c>
      <c r="H35" s="73">
        <v>30</v>
      </c>
      <c r="J35" s="59">
        <v>14.095</v>
      </c>
      <c r="K35" s="59">
        <v>422.85</v>
      </c>
      <c r="L35" s="74" t="s">
        <v>31</v>
      </c>
      <c r="M35" s="74" t="s">
        <v>75</v>
      </c>
      <c r="N35" s="74" t="s">
        <v>23</v>
      </c>
      <c r="O35" s="74" t="s">
        <v>75</v>
      </c>
      <c r="P35" s="59" t="s">
        <v>23</v>
      </c>
    </row>
    <row r="36" s="59" customFormat="1" spans="1:16">
      <c r="A36" s="61" t="s">
        <v>116</v>
      </c>
      <c r="B36" s="61" t="s">
        <v>58</v>
      </c>
      <c r="D36" s="59" t="s">
        <v>18</v>
      </c>
      <c r="E36" s="61" t="s">
        <v>117</v>
      </c>
      <c r="F36" s="61" t="s">
        <v>118</v>
      </c>
      <c r="G36" s="61" t="s">
        <v>21</v>
      </c>
      <c r="H36" s="73">
        <v>1000</v>
      </c>
      <c r="J36" s="59">
        <v>17.6261</v>
      </c>
      <c r="K36" s="59">
        <v>17626.1</v>
      </c>
      <c r="L36" s="74" t="s">
        <v>31</v>
      </c>
      <c r="M36" s="74" t="s">
        <v>52</v>
      </c>
      <c r="N36" s="74" t="s">
        <v>23</v>
      </c>
      <c r="O36" s="74" t="s">
        <v>52</v>
      </c>
      <c r="P36" s="59" t="s">
        <v>21</v>
      </c>
    </row>
    <row r="37" s="59" customFormat="1" spans="1:16">
      <c r="A37" s="61" t="s">
        <v>119</v>
      </c>
      <c r="B37" s="61" t="s">
        <v>17</v>
      </c>
      <c r="D37" s="59" t="s">
        <v>18</v>
      </c>
      <c r="E37" s="61" t="s">
        <v>120</v>
      </c>
      <c r="F37" s="61" t="s">
        <v>121</v>
      </c>
      <c r="G37" s="61" t="s">
        <v>21</v>
      </c>
      <c r="H37" s="73">
        <v>200</v>
      </c>
      <c r="J37" s="59">
        <v>12.81</v>
      </c>
      <c r="K37" s="59">
        <v>2562</v>
      </c>
      <c r="L37" s="74" t="s">
        <v>31</v>
      </c>
      <c r="M37" s="74" t="s">
        <v>52</v>
      </c>
      <c r="N37" s="74" t="s">
        <v>23</v>
      </c>
      <c r="O37" s="74" t="s">
        <v>52</v>
      </c>
      <c r="P37" s="59" t="s">
        <v>23</v>
      </c>
    </row>
    <row r="38" s="59" customFormat="1" spans="1:16">
      <c r="A38" s="61" t="s">
        <v>122</v>
      </c>
      <c r="B38" s="61" t="s">
        <v>17</v>
      </c>
      <c r="D38" s="59" t="s">
        <v>18</v>
      </c>
      <c r="E38" s="61" t="s">
        <v>123</v>
      </c>
      <c r="F38" s="61" t="s">
        <v>124</v>
      </c>
      <c r="G38" s="61" t="s">
        <v>21</v>
      </c>
      <c r="H38" s="73">
        <v>150</v>
      </c>
      <c r="J38" s="59">
        <v>14.8</v>
      </c>
      <c r="K38" s="59">
        <v>2220</v>
      </c>
      <c r="L38" s="74" t="s">
        <v>31</v>
      </c>
      <c r="M38" s="74" t="s">
        <v>125</v>
      </c>
      <c r="N38" s="74" t="s">
        <v>23</v>
      </c>
      <c r="O38" s="74" t="s">
        <v>125</v>
      </c>
      <c r="P38" s="59" t="s">
        <v>23</v>
      </c>
    </row>
    <row r="39" s="59" customFormat="1" spans="1:16">
      <c r="A39" s="61" t="s">
        <v>126</v>
      </c>
      <c r="B39" s="61" t="s">
        <v>17</v>
      </c>
      <c r="D39" s="59" t="s">
        <v>18</v>
      </c>
      <c r="E39" s="61" t="s">
        <v>127</v>
      </c>
      <c r="F39" s="61" t="s">
        <v>128</v>
      </c>
      <c r="G39" s="61" t="s">
        <v>23</v>
      </c>
      <c r="H39" s="73">
        <v>581</v>
      </c>
      <c r="J39" s="59">
        <v>14.8</v>
      </c>
      <c r="K39" s="59">
        <v>8598.8</v>
      </c>
      <c r="L39" s="74" t="s">
        <v>31</v>
      </c>
      <c r="M39" s="74" t="s">
        <v>125</v>
      </c>
      <c r="N39" s="74" t="s">
        <v>23</v>
      </c>
      <c r="O39" s="74" t="s">
        <v>125</v>
      </c>
      <c r="P39" s="59" t="s">
        <v>23</v>
      </c>
    </row>
    <row r="40" s="59" customFormat="1" spans="1:16">
      <c r="A40" s="61" t="s">
        <v>129</v>
      </c>
      <c r="B40" s="61" t="s">
        <v>17</v>
      </c>
      <c r="D40" s="59" t="s">
        <v>18</v>
      </c>
      <c r="E40" s="61" t="s">
        <v>130</v>
      </c>
      <c r="F40" s="61" t="s">
        <v>131</v>
      </c>
      <c r="G40" s="61" t="s">
        <v>21</v>
      </c>
      <c r="H40" s="73">
        <v>300</v>
      </c>
      <c r="J40" s="59">
        <v>15.555</v>
      </c>
      <c r="K40" s="59">
        <v>4666.5</v>
      </c>
      <c r="L40" s="74" t="s">
        <v>31</v>
      </c>
      <c r="M40" s="74" t="s">
        <v>52</v>
      </c>
      <c r="N40" s="74" t="s">
        <v>23</v>
      </c>
      <c r="O40" s="74" t="s">
        <v>52</v>
      </c>
      <c r="P40" s="59" t="s">
        <v>23</v>
      </c>
    </row>
    <row r="41" s="59" customFormat="1" spans="1:16">
      <c r="A41" s="61" t="s">
        <v>132</v>
      </c>
      <c r="B41" s="61" t="s">
        <v>58</v>
      </c>
      <c r="D41" s="59" t="s">
        <v>18</v>
      </c>
      <c r="E41" s="61" t="s">
        <v>133</v>
      </c>
      <c r="F41" s="61" t="s">
        <v>134</v>
      </c>
      <c r="G41" s="61" t="s">
        <v>21</v>
      </c>
      <c r="H41" s="73">
        <v>300</v>
      </c>
      <c r="J41" s="59">
        <v>13</v>
      </c>
      <c r="K41" s="59">
        <v>3900</v>
      </c>
      <c r="L41" s="74" t="s">
        <v>31</v>
      </c>
      <c r="M41" s="74" t="s">
        <v>52</v>
      </c>
      <c r="N41" s="74" t="s">
        <v>23</v>
      </c>
      <c r="O41" s="74" t="s">
        <v>52</v>
      </c>
      <c r="P41" s="59" t="s">
        <v>23</v>
      </c>
    </row>
    <row r="42" s="59" customFormat="1" spans="1:16">
      <c r="A42" s="61" t="s">
        <v>135</v>
      </c>
      <c r="B42" s="61" t="s">
        <v>58</v>
      </c>
      <c r="D42" s="59" t="s">
        <v>28</v>
      </c>
      <c r="E42" s="61" t="s">
        <v>133</v>
      </c>
      <c r="F42" s="61" t="s">
        <v>134</v>
      </c>
      <c r="G42" s="61" t="s">
        <v>21</v>
      </c>
      <c r="H42" s="73">
        <v>30</v>
      </c>
      <c r="J42" s="59">
        <v>13</v>
      </c>
      <c r="K42" s="59">
        <v>390</v>
      </c>
      <c r="L42" s="74" t="s">
        <v>31</v>
      </c>
      <c r="M42" s="74" t="s">
        <v>32</v>
      </c>
      <c r="N42" s="74" t="s">
        <v>23</v>
      </c>
      <c r="O42" s="74" t="s">
        <v>32</v>
      </c>
      <c r="P42" s="59" t="s">
        <v>23</v>
      </c>
    </row>
    <row r="43" s="59" customFormat="1" spans="1:16">
      <c r="A43" s="61" t="s">
        <v>136</v>
      </c>
      <c r="B43" s="61" t="s">
        <v>17</v>
      </c>
      <c r="D43" s="59" t="s">
        <v>28</v>
      </c>
      <c r="E43" s="61" t="s">
        <v>137</v>
      </c>
      <c r="F43" s="61" t="s">
        <v>138</v>
      </c>
      <c r="G43" s="61" t="s">
        <v>21</v>
      </c>
      <c r="H43" s="73">
        <v>150</v>
      </c>
      <c r="J43" s="59">
        <v>21.21</v>
      </c>
      <c r="K43" s="59">
        <v>3181.5</v>
      </c>
      <c r="L43" s="74" t="s">
        <v>31</v>
      </c>
      <c r="M43" s="74" t="s">
        <v>32</v>
      </c>
      <c r="N43" s="74" t="s">
        <v>23</v>
      </c>
      <c r="O43" s="74" t="s">
        <v>32</v>
      </c>
      <c r="P43" s="59" t="s">
        <v>23</v>
      </c>
    </row>
    <row r="44" s="59" customFormat="1" spans="1:16">
      <c r="A44" s="61" t="s">
        <v>139</v>
      </c>
      <c r="B44" s="61" t="s">
        <v>17</v>
      </c>
      <c r="D44" s="59" t="s">
        <v>28</v>
      </c>
      <c r="E44" s="61" t="s">
        <v>140</v>
      </c>
      <c r="F44" s="61" t="s">
        <v>141</v>
      </c>
      <c r="G44" s="61" t="s">
        <v>21</v>
      </c>
      <c r="H44" s="73">
        <v>200</v>
      </c>
      <c r="J44" s="59">
        <v>22.21</v>
      </c>
      <c r="K44" s="59">
        <v>4442</v>
      </c>
      <c r="L44" s="74" t="s">
        <v>31</v>
      </c>
      <c r="M44" s="74" t="s">
        <v>32</v>
      </c>
      <c r="N44" s="74" t="s">
        <v>23</v>
      </c>
      <c r="O44" s="74" t="s">
        <v>32</v>
      </c>
      <c r="P44" s="59" t="s">
        <v>23</v>
      </c>
    </row>
    <row r="45" s="59" customFormat="1" spans="1:16">
      <c r="A45" s="61" t="s">
        <v>142</v>
      </c>
      <c r="B45" s="61" t="s">
        <v>17</v>
      </c>
      <c r="D45" s="59" t="s">
        <v>18</v>
      </c>
      <c r="E45" s="61" t="s">
        <v>143</v>
      </c>
      <c r="F45" s="61" t="s">
        <v>144</v>
      </c>
      <c r="G45" s="61" t="s">
        <v>21</v>
      </c>
      <c r="H45" s="73">
        <v>300</v>
      </c>
      <c r="J45" s="59">
        <v>32.4466</v>
      </c>
      <c r="K45" s="59">
        <v>9733.98</v>
      </c>
      <c r="L45" s="74" t="s">
        <v>31</v>
      </c>
      <c r="M45" s="74" t="s">
        <v>52</v>
      </c>
      <c r="N45" s="74" t="s">
        <v>23</v>
      </c>
      <c r="O45" s="74" t="s">
        <v>52</v>
      </c>
      <c r="P45" s="59" t="s">
        <v>23</v>
      </c>
    </row>
    <row r="46" s="59" customFormat="1" spans="1:16">
      <c r="A46" s="61" t="s">
        <v>145</v>
      </c>
      <c r="B46" s="61" t="s">
        <v>17</v>
      </c>
      <c r="D46" s="59" t="s">
        <v>18</v>
      </c>
      <c r="E46" s="61" t="s">
        <v>146</v>
      </c>
      <c r="F46" s="61" t="s">
        <v>147</v>
      </c>
      <c r="G46" s="61" t="s">
        <v>21</v>
      </c>
      <c r="H46" s="73">
        <v>200</v>
      </c>
      <c r="J46" s="59">
        <v>11.645</v>
      </c>
      <c r="K46" s="59">
        <v>2329</v>
      </c>
      <c r="L46" s="74" t="s">
        <v>31</v>
      </c>
      <c r="M46" s="74" t="s">
        <v>75</v>
      </c>
      <c r="N46" s="74" t="s">
        <v>23</v>
      </c>
      <c r="O46" s="74" t="s">
        <v>75</v>
      </c>
      <c r="P46" s="59" t="s">
        <v>23</v>
      </c>
    </row>
    <row r="47" s="59" customFormat="1" spans="1:16">
      <c r="A47" s="61" t="s">
        <v>148</v>
      </c>
      <c r="B47" s="61" t="s">
        <v>17</v>
      </c>
      <c r="D47" s="59" t="s">
        <v>18</v>
      </c>
      <c r="E47" s="61" t="s">
        <v>146</v>
      </c>
      <c r="F47" s="61" t="s">
        <v>147</v>
      </c>
      <c r="G47" s="61" t="s">
        <v>21</v>
      </c>
      <c r="H47" s="73">
        <v>500</v>
      </c>
      <c r="J47" s="59">
        <v>11.645</v>
      </c>
      <c r="K47" s="59">
        <v>5822.5</v>
      </c>
      <c r="L47" s="74" t="s">
        <v>31</v>
      </c>
      <c r="M47" s="74" t="s">
        <v>75</v>
      </c>
      <c r="N47" s="74" t="s">
        <v>23</v>
      </c>
      <c r="O47" s="74" t="s">
        <v>75</v>
      </c>
      <c r="P47" s="59" t="s">
        <v>23</v>
      </c>
    </row>
    <row r="48" s="59" customFormat="1" spans="1:16">
      <c r="A48" s="61" t="s">
        <v>149</v>
      </c>
      <c r="B48" s="61" t="s">
        <v>17</v>
      </c>
      <c r="D48" s="59" t="s">
        <v>18</v>
      </c>
      <c r="E48" s="61" t="s">
        <v>150</v>
      </c>
      <c r="F48" s="61" t="s">
        <v>151</v>
      </c>
      <c r="G48" s="61" t="s">
        <v>21</v>
      </c>
      <c r="H48" s="73">
        <v>150</v>
      </c>
      <c r="J48" s="59">
        <v>17.655</v>
      </c>
      <c r="K48" s="59">
        <v>2648.25</v>
      </c>
      <c r="L48" s="74" t="s">
        <v>31</v>
      </c>
      <c r="M48" s="74" t="s">
        <v>125</v>
      </c>
      <c r="N48" s="74" t="s">
        <v>23</v>
      </c>
      <c r="O48" s="74" t="s">
        <v>125</v>
      </c>
      <c r="P48" s="59" t="s">
        <v>23</v>
      </c>
    </row>
    <row r="49" s="59" customFormat="1" spans="1:16">
      <c r="A49" s="61" t="s">
        <v>152</v>
      </c>
      <c r="B49" s="61" t="s">
        <v>17</v>
      </c>
      <c r="D49" s="59" t="s">
        <v>18</v>
      </c>
      <c r="E49" s="61" t="s">
        <v>153</v>
      </c>
      <c r="F49" s="61" t="s">
        <v>154</v>
      </c>
      <c r="G49" s="61" t="s">
        <v>21</v>
      </c>
      <c r="H49" s="73">
        <v>250</v>
      </c>
      <c r="J49" s="59">
        <v>12.805</v>
      </c>
      <c r="K49" s="59">
        <v>3201.25</v>
      </c>
      <c r="L49" s="74" t="s">
        <v>31</v>
      </c>
      <c r="M49" s="74" t="s">
        <v>125</v>
      </c>
      <c r="N49" s="74" t="s">
        <v>23</v>
      </c>
      <c r="O49" s="74" t="s">
        <v>125</v>
      </c>
      <c r="P49" s="59" t="s">
        <v>23</v>
      </c>
    </row>
    <row r="50" s="59" customFormat="1" spans="1:16">
      <c r="A50" s="61" t="s">
        <v>155</v>
      </c>
      <c r="B50" s="61" t="s">
        <v>17</v>
      </c>
      <c r="D50" s="59" t="s">
        <v>18</v>
      </c>
      <c r="E50" s="61" t="s">
        <v>156</v>
      </c>
      <c r="F50" s="61" t="s">
        <v>157</v>
      </c>
      <c r="G50" s="61" t="s">
        <v>21</v>
      </c>
      <c r="H50" s="73">
        <v>300</v>
      </c>
      <c r="J50" s="59">
        <v>38.255</v>
      </c>
      <c r="K50" s="59">
        <v>11476.5</v>
      </c>
      <c r="L50" s="74" t="s">
        <v>31</v>
      </c>
      <c r="M50" s="74" t="s">
        <v>158</v>
      </c>
      <c r="N50" s="74" t="s">
        <v>23</v>
      </c>
      <c r="O50" s="74" t="s">
        <v>158</v>
      </c>
      <c r="P50" s="59" t="s">
        <v>23</v>
      </c>
    </row>
    <row r="51" s="59" customFormat="1" spans="1:16">
      <c r="A51" s="61" t="s">
        <v>159</v>
      </c>
      <c r="B51" s="61" t="s">
        <v>17</v>
      </c>
      <c r="D51" s="59" t="s">
        <v>18</v>
      </c>
      <c r="E51" s="61" t="s">
        <v>160</v>
      </c>
      <c r="F51" s="61" t="s">
        <v>161</v>
      </c>
      <c r="G51" s="61" t="s">
        <v>21</v>
      </c>
      <c r="H51" s="73">
        <v>200</v>
      </c>
      <c r="J51" s="59">
        <v>14</v>
      </c>
      <c r="K51" s="59">
        <v>2800</v>
      </c>
      <c r="L51" s="59" t="s">
        <v>31</v>
      </c>
      <c r="M51" s="74" t="s">
        <v>52</v>
      </c>
      <c r="N51" s="59" t="s">
        <v>23</v>
      </c>
      <c r="O51" s="74" t="s">
        <v>52</v>
      </c>
      <c r="P51" s="59" t="s">
        <v>23</v>
      </c>
    </row>
    <row r="52" s="59" customFormat="1" spans="1:16">
      <c r="A52" s="61" t="s">
        <v>162</v>
      </c>
      <c r="B52" s="61" t="s">
        <v>58</v>
      </c>
      <c r="D52" s="59" t="s">
        <v>18</v>
      </c>
      <c r="E52" s="61" t="s">
        <v>163</v>
      </c>
      <c r="F52" s="61" t="s">
        <v>164</v>
      </c>
      <c r="G52" s="61" t="s">
        <v>23</v>
      </c>
      <c r="H52" s="73">
        <v>250</v>
      </c>
      <c r="J52" s="59">
        <v>13</v>
      </c>
      <c r="K52" s="59">
        <v>3250</v>
      </c>
      <c r="L52" s="74" t="s">
        <v>22</v>
      </c>
      <c r="P52" s="59" t="s">
        <v>23</v>
      </c>
    </row>
    <row r="53" s="59" customFormat="1" spans="1:16">
      <c r="A53" s="61" t="s">
        <v>165</v>
      </c>
      <c r="B53" s="61" t="s">
        <v>58</v>
      </c>
      <c r="D53" s="59" t="s">
        <v>28</v>
      </c>
      <c r="E53" s="61" t="s">
        <v>163</v>
      </c>
      <c r="F53" s="61" t="s">
        <v>164</v>
      </c>
      <c r="G53" s="61" t="s">
        <v>23</v>
      </c>
      <c r="H53" s="73">
        <v>50</v>
      </c>
      <c r="J53" s="59">
        <v>13</v>
      </c>
      <c r="K53" s="59">
        <v>650</v>
      </c>
      <c r="L53" s="74" t="s">
        <v>31</v>
      </c>
      <c r="M53" s="74" t="s">
        <v>32</v>
      </c>
      <c r="N53" s="74" t="s">
        <v>23</v>
      </c>
      <c r="O53" s="74" t="s">
        <v>32</v>
      </c>
      <c r="P53" s="59" t="s">
        <v>23</v>
      </c>
    </row>
    <row r="54" s="59" customFormat="1" spans="1:16">
      <c r="A54" s="61" t="s">
        <v>166</v>
      </c>
      <c r="B54" s="61" t="s">
        <v>17</v>
      </c>
      <c r="D54" s="59" t="s">
        <v>18</v>
      </c>
      <c r="E54" s="61" t="s">
        <v>167</v>
      </c>
      <c r="F54" s="61" t="s">
        <v>168</v>
      </c>
      <c r="G54" s="61" t="s">
        <v>21</v>
      </c>
      <c r="H54" s="73">
        <v>2030</v>
      </c>
      <c r="J54" s="59">
        <v>32.25</v>
      </c>
      <c r="K54" s="59">
        <v>65467.5</v>
      </c>
      <c r="L54" s="59" t="s">
        <v>31</v>
      </c>
      <c r="M54" s="74" t="s">
        <v>52</v>
      </c>
      <c r="N54" s="59" t="s">
        <v>23</v>
      </c>
      <c r="O54" s="74" t="s">
        <v>52</v>
      </c>
      <c r="P54" s="59" t="s">
        <v>23</v>
      </c>
    </row>
    <row r="55" s="59" customFormat="1" spans="1:16">
      <c r="A55" s="61" t="s">
        <v>169</v>
      </c>
      <c r="B55" s="61" t="s">
        <v>58</v>
      </c>
      <c r="D55" s="59" t="s">
        <v>18</v>
      </c>
      <c r="E55" s="61" t="s">
        <v>170</v>
      </c>
      <c r="F55" s="61" t="s">
        <v>171</v>
      </c>
      <c r="G55" s="61" t="s">
        <v>21</v>
      </c>
      <c r="H55" s="73">
        <v>1000</v>
      </c>
      <c r="J55" s="59">
        <v>26.54</v>
      </c>
      <c r="K55" s="59">
        <v>26540</v>
      </c>
      <c r="L55" s="74" t="s">
        <v>31</v>
      </c>
      <c r="M55" s="74" t="s">
        <v>52</v>
      </c>
      <c r="N55" s="74" t="s">
        <v>23</v>
      </c>
      <c r="O55" s="74" t="s">
        <v>52</v>
      </c>
      <c r="P55" s="59" t="s">
        <v>21</v>
      </c>
    </row>
    <row r="56" s="59" customFormat="1" spans="1:16">
      <c r="A56" s="61" t="s">
        <v>172</v>
      </c>
      <c r="B56" s="61" t="s">
        <v>17</v>
      </c>
      <c r="D56" s="59" t="s">
        <v>18</v>
      </c>
      <c r="E56" s="61" t="s">
        <v>173</v>
      </c>
      <c r="F56" s="61" t="s">
        <v>174</v>
      </c>
      <c r="G56" s="61" t="s">
        <v>21</v>
      </c>
      <c r="H56" s="73">
        <v>500</v>
      </c>
      <c r="J56" s="59">
        <v>15.36</v>
      </c>
      <c r="K56" s="59">
        <v>7680</v>
      </c>
      <c r="L56" s="59" t="s">
        <v>31</v>
      </c>
      <c r="M56" s="74" t="s">
        <v>52</v>
      </c>
      <c r="N56" s="59" t="s">
        <v>23</v>
      </c>
      <c r="O56" s="74" t="s">
        <v>52</v>
      </c>
      <c r="P56" s="59" t="s">
        <v>23</v>
      </c>
    </row>
    <row r="57" s="59" customFormat="1" spans="1:16">
      <c r="A57" s="61" t="s">
        <v>175</v>
      </c>
      <c r="B57" s="61" t="s">
        <v>17</v>
      </c>
      <c r="D57" s="59" t="s">
        <v>28</v>
      </c>
      <c r="E57" s="61" t="s">
        <v>176</v>
      </c>
      <c r="F57" s="61" t="s">
        <v>177</v>
      </c>
      <c r="G57" s="61" t="s">
        <v>21</v>
      </c>
      <c r="H57" s="73">
        <v>150</v>
      </c>
      <c r="J57" s="59">
        <v>10.2</v>
      </c>
      <c r="K57" s="59">
        <v>1530</v>
      </c>
      <c r="L57" s="74" t="s">
        <v>31</v>
      </c>
      <c r="M57" s="74" t="s">
        <v>32</v>
      </c>
      <c r="N57" s="74" t="s">
        <v>23</v>
      </c>
      <c r="O57" s="74" t="s">
        <v>32</v>
      </c>
      <c r="P57" s="59" t="s">
        <v>23</v>
      </c>
    </row>
    <row r="58" s="59" customFormat="1" spans="1:16">
      <c r="A58" s="61" t="s">
        <v>178</v>
      </c>
      <c r="B58" s="61" t="s">
        <v>17</v>
      </c>
      <c r="D58" s="59" t="s">
        <v>18</v>
      </c>
      <c r="E58" s="61" t="s">
        <v>179</v>
      </c>
      <c r="F58" s="61" t="s">
        <v>180</v>
      </c>
      <c r="G58" s="61" t="s">
        <v>21</v>
      </c>
      <c r="H58" s="73">
        <v>300</v>
      </c>
      <c r="J58" s="59">
        <v>7</v>
      </c>
      <c r="K58" s="59">
        <v>2100</v>
      </c>
      <c r="L58" s="74" t="s">
        <v>31</v>
      </c>
      <c r="M58" s="74" t="s">
        <v>125</v>
      </c>
      <c r="N58" s="74" t="s">
        <v>23</v>
      </c>
      <c r="O58" s="74" t="s">
        <v>125</v>
      </c>
      <c r="P58" s="59" t="s">
        <v>23</v>
      </c>
    </row>
    <row r="59" s="59" customFormat="1" spans="1:16">
      <c r="A59" s="61" t="s">
        <v>181</v>
      </c>
      <c r="B59" s="61" t="s">
        <v>17</v>
      </c>
      <c r="D59" s="59" t="s">
        <v>28</v>
      </c>
      <c r="E59" s="61" t="s">
        <v>182</v>
      </c>
      <c r="F59" s="61" t="s">
        <v>183</v>
      </c>
      <c r="G59" s="61" t="s">
        <v>21</v>
      </c>
      <c r="H59" s="73">
        <v>250</v>
      </c>
      <c r="J59" s="59">
        <v>20.35</v>
      </c>
      <c r="K59" s="59">
        <v>5087.5</v>
      </c>
      <c r="L59" s="74" t="s">
        <v>31</v>
      </c>
      <c r="M59" s="74" t="s">
        <v>32</v>
      </c>
      <c r="N59" s="74" t="s">
        <v>23</v>
      </c>
      <c r="O59" s="74" t="s">
        <v>32</v>
      </c>
      <c r="P59" s="59" t="s">
        <v>23</v>
      </c>
    </row>
    <row r="60" s="59" customFormat="1" spans="1:16">
      <c r="A60" s="61" t="s">
        <v>184</v>
      </c>
      <c r="B60" s="61" t="s">
        <v>17</v>
      </c>
      <c r="D60" s="59" t="s">
        <v>28</v>
      </c>
      <c r="E60" s="61" t="s">
        <v>185</v>
      </c>
      <c r="F60" s="61" t="s">
        <v>186</v>
      </c>
      <c r="G60" s="61" t="s">
        <v>21</v>
      </c>
      <c r="H60" s="73">
        <v>250</v>
      </c>
      <c r="J60" s="59">
        <v>20.35</v>
      </c>
      <c r="K60" s="59">
        <v>5087.5</v>
      </c>
      <c r="L60" s="74" t="s">
        <v>31</v>
      </c>
      <c r="M60" s="74" t="s">
        <v>32</v>
      </c>
      <c r="N60" s="74" t="s">
        <v>23</v>
      </c>
      <c r="O60" s="74" t="s">
        <v>32</v>
      </c>
      <c r="P60" s="59" t="s">
        <v>23</v>
      </c>
    </row>
    <row r="61" s="59" customFormat="1" spans="1:16">
      <c r="A61" s="61" t="s">
        <v>187</v>
      </c>
      <c r="B61" s="61" t="s">
        <v>17</v>
      </c>
      <c r="D61" s="59" t="s">
        <v>18</v>
      </c>
      <c r="E61" s="61" t="s">
        <v>130</v>
      </c>
      <c r="F61" s="61" t="s">
        <v>131</v>
      </c>
      <c r="G61" s="61" t="s">
        <v>21</v>
      </c>
      <c r="H61" s="73">
        <v>30</v>
      </c>
      <c r="J61" s="59">
        <v>15.555</v>
      </c>
      <c r="K61" s="59">
        <v>466.65</v>
      </c>
      <c r="L61" s="74" t="s">
        <v>31</v>
      </c>
      <c r="M61" s="74" t="s">
        <v>52</v>
      </c>
      <c r="N61" s="74" t="s">
        <v>23</v>
      </c>
      <c r="O61" s="74" t="s">
        <v>52</v>
      </c>
      <c r="P61" s="59" t="s">
        <v>23</v>
      </c>
    </row>
    <row r="62" s="59" customFormat="1" spans="1:16">
      <c r="A62" s="61" t="s">
        <v>188</v>
      </c>
      <c r="B62" s="61" t="s">
        <v>17</v>
      </c>
      <c r="D62" s="59" t="s">
        <v>28</v>
      </c>
      <c r="E62" s="61" t="s">
        <v>189</v>
      </c>
      <c r="F62" s="61" t="s">
        <v>190</v>
      </c>
      <c r="G62" s="61" t="s">
        <v>21</v>
      </c>
      <c r="H62" s="73">
        <v>30</v>
      </c>
      <c r="J62" s="59">
        <v>25.045</v>
      </c>
      <c r="K62" s="59">
        <v>751.35</v>
      </c>
      <c r="L62" s="59" t="s">
        <v>31</v>
      </c>
      <c r="M62" s="74" t="s">
        <v>32</v>
      </c>
      <c r="N62" s="74" t="s">
        <v>23</v>
      </c>
      <c r="O62" s="74" t="s">
        <v>32</v>
      </c>
      <c r="P62" s="59" t="s">
        <v>23</v>
      </c>
    </row>
    <row r="63" s="59" customFormat="1" spans="1:16">
      <c r="A63" s="61" t="s">
        <v>191</v>
      </c>
      <c r="B63" s="61" t="s">
        <v>17</v>
      </c>
      <c r="D63" s="59" t="s">
        <v>18</v>
      </c>
      <c r="E63" s="61" t="s">
        <v>189</v>
      </c>
      <c r="F63" s="61" t="s">
        <v>190</v>
      </c>
      <c r="G63" s="61" t="s">
        <v>21</v>
      </c>
      <c r="H63" s="73">
        <v>300</v>
      </c>
      <c r="J63" s="59">
        <v>25.045</v>
      </c>
      <c r="K63" s="59">
        <v>7513.5</v>
      </c>
      <c r="L63" s="74" t="s">
        <v>31</v>
      </c>
      <c r="M63" s="74" t="s">
        <v>158</v>
      </c>
      <c r="N63" s="74" t="s">
        <v>23</v>
      </c>
      <c r="O63" s="74" t="s">
        <v>158</v>
      </c>
      <c r="P63" s="59" t="s">
        <v>23</v>
      </c>
    </row>
    <row r="64" s="59" customFormat="1" spans="1:16">
      <c r="A64" s="61" t="s">
        <v>192</v>
      </c>
      <c r="B64" s="61" t="s">
        <v>17</v>
      </c>
      <c r="D64" s="59" t="s">
        <v>28</v>
      </c>
      <c r="E64" s="61" t="s">
        <v>193</v>
      </c>
      <c r="F64" s="61" t="s">
        <v>194</v>
      </c>
      <c r="G64" s="61" t="s">
        <v>21</v>
      </c>
      <c r="H64" s="73">
        <v>30</v>
      </c>
      <c r="J64" s="59">
        <v>14.045</v>
      </c>
      <c r="K64" s="59">
        <v>421.35</v>
      </c>
      <c r="L64" s="74" t="s">
        <v>31</v>
      </c>
      <c r="M64" s="74" t="s">
        <v>32</v>
      </c>
      <c r="N64" s="74" t="s">
        <v>23</v>
      </c>
      <c r="O64" s="74" t="s">
        <v>32</v>
      </c>
      <c r="P64" s="59" t="s">
        <v>23</v>
      </c>
    </row>
    <row r="65" s="59" customFormat="1" spans="1:16">
      <c r="A65" s="61" t="s">
        <v>195</v>
      </c>
      <c r="B65" s="61" t="s">
        <v>17</v>
      </c>
      <c r="D65" s="59" t="s">
        <v>18</v>
      </c>
      <c r="E65" s="61" t="s">
        <v>193</v>
      </c>
      <c r="F65" s="61" t="s">
        <v>194</v>
      </c>
      <c r="G65" s="61" t="s">
        <v>21</v>
      </c>
      <c r="H65" s="73">
        <v>300</v>
      </c>
      <c r="J65" s="59">
        <v>14.045</v>
      </c>
      <c r="K65" s="59">
        <v>4213.5</v>
      </c>
      <c r="L65" s="74" t="s">
        <v>22</v>
      </c>
      <c r="P65" s="59" t="s">
        <v>23</v>
      </c>
    </row>
    <row r="66" s="59" customFormat="1" spans="1:16">
      <c r="A66" s="61" t="s">
        <v>196</v>
      </c>
      <c r="B66" s="61" t="s">
        <v>17</v>
      </c>
      <c r="D66" s="59" t="s">
        <v>28</v>
      </c>
      <c r="E66" s="61" t="s">
        <v>197</v>
      </c>
      <c r="F66" s="61" t="s">
        <v>198</v>
      </c>
      <c r="G66" s="61" t="s">
        <v>23</v>
      </c>
      <c r="H66" s="73">
        <v>100</v>
      </c>
      <c r="J66" s="59">
        <v>1.71</v>
      </c>
      <c r="K66" s="59">
        <v>171</v>
      </c>
      <c r="L66" s="74" t="s">
        <v>31</v>
      </c>
      <c r="M66" s="74" t="s">
        <v>32</v>
      </c>
      <c r="N66" s="74" t="s">
        <v>23</v>
      </c>
      <c r="O66" s="74" t="s">
        <v>32</v>
      </c>
      <c r="P66" s="59" t="s">
        <v>23</v>
      </c>
    </row>
    <row r="67" s="59" customFormat="1" spans="1:16">
      <c r="A67" s="61" t="s">
        <v>199</v>
      </c>
      <c r="B67" s="61" t="s">
        <v>17</v>
      </c>
      <c r="D67" s="59" t="s">
        <v>28</v>
      </c>
      <c r="E67" s="61" t="s">
        <v>200</v>
      </c>
      <c r="F67" s="61" t="s">
        <v>201</v>
      </c>
      <c r="G67" s="61" t="s">
        <v>21</v>
      </c>
      <c r="H67" s="73">
        <v>200</v>
      </c>
      <c r="J67" s="59">
        <v>5.11</v>
      </c>
      <c r="K67" s="59">
        <v>1022</v>
      </c>
      <c r="L67" s="74" t="s">
        <v>31</v>
      </c>
      <c r="M67" s="74" t="s">
        <v>32</v>
      </c>
      <c r="N67" s="74" t="s">
        <v>23</v>
      </c>
      <c r="O67" s="74" t="s">
        <v>32</v>
      </c>
      <c r="P67" s="59" t="s">
        <v>23</v>
      </c>
    </row>
    <row r="68" s="59" customFormat="1" spans="1:16">
      <c r="A68" s="61" t="s">
        <v>202</v>
      </c>
      <c r="B68" s="61" t="s">
        <v>17</v>
      </c>
      <c r="D68" s="59" t="s">
        <v>28</v>
      </c>
      <c r="E68" s="61" t="s">
        <v>203</v>
      </c>
      <c r="F68" s="61" t="s">
        <v>204</v>
      </c>
      <c r="G68" s="61" t="s">
        <v>23</v>
      </c>
      <c r="H68" s="73">
        <v>100</v>
      </c>
      <c r="J68" s="59">
        <v>5.3</v>
      </c>
      <c r="K68" s="59">
        <v>530</v>
      </c>
      <c r="L68" s="74" t="s">
        <v>31</v>
      </c>
      <c r="M68" s="74" t="s">
        <v>32</v>
      </c>
      <c r="N68" s="74" t="s">
        <v>23</v>
      </c>
      <c r="O68" s="74" t="s">
        <v>32</v>
      </c>
      <c r="P68" s="59" t="s">
        <v>23</v>
      </c>
    </row>
    <row r="69" s="59" customFormat="1" spans="1:16">
      <c r="A69" s="61" t="s">
        <v>205</v>
      </c>
      <c r="B69" s="61" t="s">
        <v>17</v>
      </c>
      <c r="D69" s="59" t="s">
        <v>28</v>
      </c>
      <c r="E69" s="61" t="s">
        <v>206</v>
      </c>
      <c r="F69" s="61" t="s">
        <v>207</v>
      </c>
      <c r="G69" s="61" t="s">
        <v>23</v>
      </c>
      <c r="H69" s="73">
        <v>100</v>
      </c>
      <c r="J69" s="59">
        <v>5.3</v>
      </c>
      <c r="K69" s="59">
        <v>530</v>
      </c>
      <c r="L69" s="74" t="s">
        <v>31</v>
      </c>
      <c r="M69" s="74" t="s">
        <v>32</v>
      </c>
      <c r="N69" s="74" t="s">
        <v>23</v>
      </c>
      <c r="O69" s="74" t="s">
        <v>32</v>
      </c>
      <c r="P69" s="59" t="s">
        <v>23</v>
      </c>
    </row>
    <row r="70" s="59" customFormat="1" spans="1:16">
      <c r="A70" s="61" t="s">
        <v>208</v>
      </c>
      <c r="B70" s="61" t="s">
        <v>17</v>
      </c>
      <c r="D70" s="59" t="s">
        <v>28</v>
      </c>
      <c r="E70" s="61" t="s">
        <v>209</v>
      </c>
      <c r="F70" s="61" t="s">
        <v>210</v>
      </c>
      <c r="G70" s="61" t="s">
        <v>23</v>
      </c>
      <c r="H70" s="73">
        <v>150</v>
      </c>
      <c r="J70" s="59">
        <v>9.8</v>
      </c>
      <c r="K70" s="59">
        <v>1470</v>
      </c>
      <c r="L70" s="74" t="s">
        <v>31</v>
      </c>
      <c r="M70" s="74" t="s">
        <v>32</v>
      </c>
      <c r="N70" s="74" t="s">
        <v>23</v>
      </c>
      <c r="O70" s="74" t="s">
        <v>32</v>
      </c>
      <c r="P70" s="59" t="s">
        <v>23</v>
      </c>
    </row>
    <row r="71" s="59" customFormat="1" spans="1:16">
      <c r="A71" s="61" t="s">
        <v>211</v>
      </c>
      <c r="B71" s="61" t="s">
        <v>17</v>
      </c>
      <c r="D71" s="59" t="s">
        <v>18</v>
      </c>
      <c r="E71" s="61" t="s">
        <v>212</v>
      </c>
      <c r="F71" s="61" t="s">
        <v>213</v>
      </c>
      <c r="G71" s="61" t="s">
        <v>21</v>
      </c>
      <c r="H71" s="73">
        <v>350</v>
      </c>
      <c r="J71" s="59">
        <v>26.485</v>
      </c>
      <c r="K71" s="59">
        <v>9269.75</v>
      </c>
      <c r="L71" s="59" t="s">
        <v>31</v>
      </c>
      <c r="M71" s="74" t="s">
        <v>52</v>
      </c>
      <c r="N71" s="59" t="s">
        <v>23</v>
      </c>
      <c r="O71" s="74" t="s">
        <v>52</v>
      </c>
      <c r="P71" s="59" t="s">
        <v>23</v>
      </c>
    </row>
    <row r="72" s="59" customFormat="1" spans="1:16">
      <c r="A72" s="61" t="s">
        <v>214</v>
      </c>
      <c r="B72" s="61" t="s">
        <v>17</v>
      </c>
      <c r="D72" s="59" t="s">
        <v>18</v>
      </c>
      <c r="E72" s="61" t="s">
        <v>212</v>
      </c>
      <c r="F72" s="61" t="s">
        <v>213</v>
      </c>
      <c r="G72" s="61" t="s">
        <v>21</v>
      </c>
      <c r="H72" s="73">
        <v>30</v>
      </c>
      <c r="J72" s="59">
        <v>26.485</v>
      </c>
      <c r="K72" s="59">
        <v>794.55</v>
      </c>
      <c r="L72" s="59" t="s">
        <v>31</v>
      </c>
      <c r="M72" s="74" t="s">
        <v>52</v>
      </c>
      <c r="N72" s="59" t="s">
        <v>23</v>
      </c>
      <c r="O72" s="74" t="s">
        <v>52</v>
      </c>
      <c r="P72" s="59" t="s">
        <v>23</v>
      </c>
    </row>
    <row r="73" s="59" customFormat="1" spans="1:16">
      <c r="A73" s="61" t="s">
        <v>215</v>
      </c>
      <c r="B73" s="61" t="s">
        <v>17</v>
      </c>
      <c r="D73" s="59" t="s">
        <v>28</v>
      </c>
      <c r="E73" s="61" t="s">
        <v>216</v>
      </c>
      <c r="F73" s="61" t="s">
        <v>217</v>
      </c>
      <c r="G73" s="61" t="s">
        <v>23</v>
      </c>
      <c r="H73" s="73">
        <v>16</v>
      </c>
      <c r="J73" s="59">
        <v>12</v>
      </c>
      <c r="K73" s="59">
        <v>192</v>
      </c>
      <c r="L73" s="74" t="s">
        <v>31</v>
      </c>
      <c r="M73" s="74" t="s">
        <v>32</v>
      </c>
      <c r="N73" s="74" t="s">
        <v>23</v>
      </c>
      <c r="O73" s="74" t="s">
        <v>32</v>
      </c>
      <c r="P73" s="59" t="s">
        <v>23</v>
      </c>
    </row>
    <row r="74" s="59" customFormat="1" spans="1:16">
      <c r="A74" s="61" t="s">
        <v>218</v>
      </c>
      <c r="B74" s="61" t="s">
        <v>17</v>
      </c>
      <c r="D74" s="59" t="s">
        <v>28</v>
      </c>
      <c r="E74" s="61" t="s">
        <v>219</v>
      </c>
      <c r="F74" s="61" t="s">
        <v>220</v>
      </c>
      <c r="G74" s="61" t="s">
        <v>23</v>
      </c>
      <c r="H74" s="73">
        <v>100</v>
      </c>
      <c r="J74" s="59">
        <v>9.3</v>
      </c>
      <c r="K74" s="59">
        <v>930</v>
      </c>
      <c r="L74" s="74" t="s">
        <v>31</v>
      </c>
      <c r="M74" s="74" t="s">
        <v>32</v>
      </c>
      <c r="N74" s="74" t="s">
        <v>23</v>
      </c>
      <c r="O74" s="74" t="s">
        <v>32</v>
      </c>
      <c r="P74" s="59" t="s">
        <v>23</v>
      </c>
    </row>
    <row r="75" s="59" customFormat="1" spans="1:16">
      <c r="A75" s="61" t="s">
        <v>221</v>
      </c>
      <c r="B75" s="61" t="s">
        <v>17</v>
      </c>
      <c r="D75" s="59" t="s">
        <v>28</v>
      </c>
      <c r="E75" s="61" t="s">
        <v>222</v>
      </c>
      <c r="F75" s="61" t="s">
        <v>223</v>
      </c>
      <c r="G75" s="61" t="s">
        <v>23</v>
      </c>
      <c r="H75" s="73">
        <v>100</v>
      </c>
      <c r="J75" s="59">
        <v>8.5</v>
      </c>
      <c r="K75" s="59">
        <v>850</v>
      </c>
      <c r="L75" s="74" t="s">
        <v>31</v>
      </c>
      <c r="M75" s="74" t="s">
        <v>32</v>
      </c>
      <c r="N75" s="74" t="s">
        <v>23</v>
      </c>
      <c r="O75" s="74" t="s">
        <v>32</v>
      </c>
      <c r="P75" s="59" t="s">
        <v>23</v>
      </c>
    </row>
    <row r="76" s="59" customFormat="1" spans="1:16">
      <c r="A76" s="61" t="s">
        <v>224</v>
      </c>
      <c r="B76" s="61" t="s">
        <v>17</v>
      </c>
      <c r="D76" s="59" t="s">
        <v>28</v>
      </c>
      <c r="E76" s="61" t="s">
        <v>225</v>
      </c>
      <c r="F76" s="61" t="s">
        <v>226</v>
      </c>
      <c r="G76" s="61" t="s">
        <v>23</v>
      </c>
      <c r="H76" s="73">
        <v>250</v>
      </c>
      <c r="J76" s="59">
        <v>9.3</v>
      </c>
      <c r="K76" s="59">
        <v>2325</v>
      </c>
      <c r="L76" s="74" t="s">
        <v>31</v>
      </c>
      <c r="M76" s="74" t="s">
        <v>32</v>
      </c>
      <c r="N76" s="74" t="s">
        <v>23</v>
      </c>
      <c r="O76" s="74" t="s">
        <v>32</v>
      </c>
      <c r="P76" s="59" t="s">
        <v>23</v>
      </c>
    </row>
    <row r="77" s="59" customFormat="1" spans="1:16">
      <c r="A77" s="61" t="s">
        <v>227</v>
      </c>
      <c r="B77" s="61" t="s">
        <v>17</v>
      </c>
      <c r="D77" s="59" t="s">
        <v>28</v>
      </c>
      <c r="E77" s="61" t="s">
        <v>228</v>
      </c>
      <c r="F77" s="61" t="s">
        <v>229</v>
      </c>
      <c r="G77" s="61" t="s">
        <v>21</v>
      </c>
      <c r="H77" s="73">
        <v>100</v>
      </c>
      <c r="J77" s="59">
        <v>25.063</v>
      </c>
      <c r="K77" s="59">
        <v>2506.3</v>
      </c>
      <c r="L77" s="74" t="s">
        <v>31</v>
      </c>
      <c r="M77" s="74" t="s">
        <v>32</v>
      </c>
      <c r="N77" s="74" t="s">
        <v>23</v>
      </c>
      <c r="O77" s="74" t="s">
        <v>32</v>
      </c>
      <c r="P77" s="59" t="s">
        <v>23</v>
      </c>
    </row>
    <row r="78" s="59" customFormat="1" spans="1:16">
      <c r="A78" s="61" t="s">
        <v>230</v>
      </c>
      <c r="B78" s="61" t="s">
        <v>49</v>
      </c>
      <c r="D78" s="59" t="s">
        <v>18</v>
      </c>
      <c r="E78" s="61" t="s">
        <v>231</v>
      </c>
      <c r="F78" s="61" t="s">
        <v>232</v>
      </c>
      <c r="G78" s="61" t="s">
        <v>21</v>
      </c>
      <c r="H78" s="73">
        <v>200</v>
      </c>
      <c r="J78" s="59">
        <v>17</v>
      </c>
      <c r="K78" s="59">
        <v>3400</v>
      </c>
      <c r="L78" s="74" t="s">
        <v>31</v>
      </c>
      <c r="M78" s="74" t="s">
        <v>52</v>
      </c>
      <c r="N78" s="74" t="s">
        <v>23</v>
      </c>
      <c r="O78" s="74" t="s">
        <v>52</v>
      </c>
      <c r="P78" s="59" t="s">
        <v>23</v>
      </c>
    </row>
    <row r="79" s="59" customFormat="1" spans="1:16">
      <c r="A79" s="61" t="s">
        <v>233</v>
      </c>
      <c r="B79" s="61" t="s">
        <v>49</v>
      </c>
      <c r="D79" s="59" t="s">
        <v>18</v>
      </c>
      <c r="E79" s="61" t="s">
        <v>231</v>
      </c>
      <c r="F79" s="61" t="s">
        <v>232</v>
      </c>
      <c r="G79" s="61" t="s">
        <v>21</v>
      </c>
      <c r="H79" s="73">
        <v>30</v>
      </c>
      <c r="J79" s="59">
        <v>17</v>
      </c>
      <c r="K79" s="59">
        <v>510</v>
      </c>
      <c r="L79" s="74" t="s">
        <v>31</v>
      </c>
      <c r="M79" s="74" t="s">
        <v>52</v>
      </c>
      <c r="N79" s="74" t="s">
        <v>23</v>
      </c>
      <c r="O79" s="74" t="s">
        <v>52</v>
      </c>
      <c r="P79" s="59" t="s">
        <v>23</v>
      </c>
    </row>
    <row r="80" s="59" customFormat="1" spans="1:16">
      <c r="A80" s="61" t="s">
        <v>234</v>
      </c>
      <c r="B80" s="61" t="s">
        <v>17</v>
      </c>
      <c r="D80" s="59" t="s">
        <v>18</v>
      </c>
      <c r="E80" s="61" t="s">
        <v>235</v>
      </c>
      <c r="F80" s="61" t="s">
        <v>236</v>
      </c>
      <c r="G80" s="61" t="s">
        <v>21</v>
      </c>
      <c r="H80" s="73">
        <v>300</v>
      </c>
      <c r="J80" s="59">
        <v>19.135</v>
      </c>
      <c r="K80" s="59">
        <v>5740.5</v>
      </c>
      <c r="L80" s="74" t="s">
        <v>31</v>
      </c>
      <c r="M80" s="74" t="s">
        <v>52</v>
      </c>
      <c r="N80" s="74" t="s">
        <v>23</v>
      </c>
      <c r="O80" s="74" t="s">
        <v>52</v>
      </c>
      <c r="P80" s="59" t="s">
        <v>23</v>
      </c>
    </row>
    <row r="81" s="59" customFormat="1" spans="1:16">
      <c r="A81" s="61" t="s">
        <v>237</v>
      </c>
      <c r="B81" s="61" t="s">
        <v>17</v>
      </c>
      <c r="D81" s="59" t="s">
        <v>238</v>
      </c>
      <c r="E81" s="61" t="s">
        <v>239</v>
      </c>
      <c r="F81" s="61" t="s">
        <v>240</v>
      </c>
      <c r="G81" s="61" t="s">
        <v>23</v>
      </c>
      <c r="H81" s="73">
        <v>2206</v>
      </c>
      <c r="J81" s="59">
        <v>6.2</v>
      </c>
      <c r="K81" s="59">
        <v>13677.2</v>
      </c>
      <c r="L81" s="74" t="s">
        <v>31</v>
      </c>
      <c r="M81" s="74" t="s">
        <v>241</v>
      </c>
      <c r="N81" s="74" t="s">
        <v>23</v>
      </c>
      <c r="O81" s="74" t="s">
        <v>241</v>
      </c>
      <c r="P81" s="59" t="s">
        <v>23</v>
      </c>
    </row>
    <row r="82" s="59" customFormat="1" spans="1:16">
      <c r="A82" s="61" t="s">
        <v>242</v>
      </c>
      <c r="B82" s="61" t="s">
        <v>17</v>
      </c>
      <c r="D82" s="59" t="s">
        <v>28</v>
      </c>
      <c r="E82" s="61" t="s">
        <v>243</v>
      </c>
      <c r="F82" s="61" t="s">
        <v>244</v>
      </c>
      <c r="G82" s="61" t="s">
        <v>23</v>
      </c>
      <c r="H82" s="73">
        <v>20</v>
      </c>
      <c r="J82" s="59">
        <v>14.5</v>
      </c>
      <c r="K82" s="59">
        <v>290</v>
      </c>
      <c r="L82" s="74" t="s">
        <v>31</v>
      </c>
      <c r="M82" s="74" t="s">
        <v>32</v>
      </c>
      <c r="N82" s="74" t="s">
        <v>23</v>
      </c>
      <c r="O82" s="74" t="s">
        <v>32</v>
      </c>
      <c r="P82" s="59" t="s">
        <v>23</v>
      </c>
    </row>
    <row r="83" s="59" customFormat="1" spans="1:16">
      <c r="A83" s="61" t="s">
        <v>245</v>
      </c>
      <c r="B83" s="61" t="s">
        <v>17</v>
      </c>
      <c r="D83" s="59" t="s">
        <v>28</v>
      </c>
      <c r="E83" s="61" t="s">
        <v>246</v>
      </c>
      <c r="F83" s="61" t="s">
        <v>247</v>
      </c>
      <c r="G83" s="61" t="s">
        <v>23</v>
      </c>
      <c r="H83" s="73">
        <v>150</v>
      </c>
      <c r="J83" s="59">
        <v>7.0529</v>
      </c>
      <c r="K83" s="59">
        <v>1057.935</v>
      </c>
      <c r="L83" s="74" t="s">
        <v>31</v>
      </c>
      <c r="M83" s="74" t="s">
        <v>32</v>
      </c>
      <c r="N83" s="74" t="s">
        <v>23</v>
      </c>
      <c r="O83" s="74" t="s">
        <v>32</v>
      </c>
      <c r="P83" s="59" t="s">
        <v>23</v>
      </c>
    </row>
    <row r="84" s="59" customFormat="1" spans="1:16">
      <c r="A84" s="61" t="s">
        <v>248</v>
      </c>
      <c r="B84" s="61" t="s">
        <v>17</v>
      </c>
      <c r="D84" s="59" t="s">
        <v>28</v>
      </c>
      <c r="E84" s="61" t="s">
        <v>249</v>
      </c>
      <c r="F84" s="61" t="s">
        <v>250</v>
      </c>
      <c r="G84" s="61" t="s">
        <v>23</v>
      </c>
      <c r="H84" s="73">
        <v>150</v>
      </c>
      <c r="J84" s="59">
        <v>10</v>
      </c>
      <c r="K84" s="59">
        <v>1500</v>
      </c>
      <c r="L84" s="74" t="s">
        <v>31</v>
      </c>
      <c r="M84" s="74" t="s">
        <v>32</v>
      </c>
      <c r="N84" s="74" t="s">
        <v>23</v>
      </c>
      <c r="O84" s="74" t="s">
        <v>32</v>
      </c>
      <c r="P84" s="59" t="s">
        <v>23</v>
      </c>
    </row>
    <row r="85" s="59" customFormat="1" spans="1:16">
      <c r="A85" s="61" t="s">
        <v>251</v>
      </c>
      <c r="B85" s="61" t="s">
        <v>17</v>
      </c>
      <c r="D85" s="59" t="s">
        <v>28</v>
      </c>
      <c r="E85" s="61" t="s">
        <v>252</v>
      </c>
      <c r="F85" s="61" t="s">
        <v>253</v>
      </c>
      <c r="G85" s="61" t="s">
        <v>23</v>
      </c>
      <c r="H85" s="73">
        <v>100</v>
      </c>
      <c r="J85" s="59">
        <v>6</v>
      </c>
      <c r="K85" s="59">
        <v>600</v>
      </c>
      <c r="L85" s="74" t="s">
        <v>31</v>
      </c>
      <c r="M85" s="74" t="s">
        <v>32</v>
      </c>
      <c r="N85" s="74" t="s">
        <v>23</v>
      </c>
      <c r="O85" s="74" t="s">
        <v>32</v>
      </c>
      <c r="P85" s="59" t="s">
        <v>23</v>
      </c>
    </row>
    <row r="86" s="59" customFormat="1" spans="1:16">
      <c r="A86" s="61" t="s">
        <v>254</v>
      </c>
      <c r="B86" s="61" t="s">
        <v>17</v>
      </c>
      <c r="D86" s="59" t="s">
        <v>18</v>
      </c>
      <c r="E86" s="61" t="s">
        <v>255</v>
      </c>
      <c r="F86" s="61" t="s">
        <v>256</v>
      </c>
      <c r="G86" s="61" t="s">
        <v>21</v>
      </c>
      <c r="H86" s="73">
        <v>300</v>
      </c>
      <c r="J86" s="59">
        <v>16.745</v>
      </c>
      <c r="K86" s="59">
        <v>5023.5</v>
      </c>
      <c r="L86" s="74" t="s">
        <v>22</v>
      </c>
      <c r="P86" s="59" t="s">
        <v>23</v>
      </c>
    </row>
    <row r="87" s="59" customFormat="1" spans="1:16">
      <c r="A87" s="61" t="s">
        <v>257</v>
      </c>
      <c r="B87" s="61" t="s">
        <v>17</v>
      </c>
      <c r="D87" s="59" t="s">
        <v>18</v>
      </c>
      <c r="E87" s="61" t="s">
        <v>258</v>
      </c>
      <c r="F87" s="61" t="s">
        <v>259</v>
      </c>
      <c r="G87" s="61" t="s">
        <v>21</v>
      </c>
      <c r="H87" s="73">
        <v>300</v>
      </c>
      <c r="J87" s="59">
        <v>18.36</v>
      </c>
      <c r="K87" s="59">
        <v>5508</v>
      </c>
      <c r="L87" s="59" t="s">
        <v>31</v>
      </c>
      <c r="M87" s="74" t="s">
        <v>52</v>
      </c>
      <c r="N87" s="59" t="s">
        <v>23</v>
      </c>
      <c r="O87" s="74" t="s">
        <v>52</v>
      </c>
      <c r="P87" s="59" t="s">
        <v>23</v>
      </c>
    </row>
    <row r="88" s="59" customFormat="1" spans="1:16">
      <c r="A88" s="61" t="s">
        <v>260</v>
      </c>
      <c r="B88" s="61" t="s">
        <v>17</v>
      </c>
      <c r="D88" s="59" t="s">
        <v>28</v>
      </c>
      <c r="E88" s="61" t="s">
        <v>261</v>
      </c>
      <c r="F88" s="61" t="s">
        <v>262</v>
      </c>
      <c r="G88" s="61" t="s">
        <v>23</v>
      </c>
      <c r="H88" s="73">
        <v>1000</v>
      </c>
      <c r="J88" s="59">
        <v>6.5</v>
      </c>
      <c r="K88" s="59">
        <v>6500</v>
      </c>
      <c r="L88" s="74" t="s">
        <v>31</v>
      </c>
      <c r="M88" s="74" t="s">
        <v>32</v>
      </c>
      <c r="N88" s="74" t="s">
        <v>23</v>
      </c>
      <c r="O88" s="74" t="s">
        <v>32</v>
      </c>
      <c r="P88" s="59" t="s">
        <v>23</v>
      </c>
    </row>
    <row r="89" s="59" customFormat="1" spans="1:16">
      <c r="A89" s="61" t="s">
        <v>263</v>
      </c>
      <c r="B89" s="61" t="s">
        <v>17</v>
      </c>
      <c r="D89" s="59" t="s">
        <v>28</v>
      </c>
      <c r="E89" s="61" t="s">
        <v>264</v>
      </c>
      <c r="F89" s="61" t="s">
        <v>265</v>
      </c>
      <c r="G89" s="61" t="s">
        <v>21</v>
      </c>
      <c r="H89" s="73">
        <v>200</v>
      </c>
      <c r="J89" s="59">
        <v>17.85</v>
      </c>
      <c r="K89" s="59">
        <v>3570</v>
      </c>
      <c r="L89" s="74" t="s">
        <v>31</v>
      </c>
      <c r="M89" s="74" t="s">
        <v>32</v>
      </c>
      <c r="N89" s="74" t="s">
        <v>23</v>
      </c>
      <c r="O89" s="74" t="s">
        <v>32</v>
      </c>
      <c r="P89" s="59" t="s">
        <v>23</v>
      </c>
    </row>
    <row r="90" s="59" customFormat="1" spans="1:16">
      <c r="A90" s="61" t="s">
        <v>266</v>
      </c>
      <c r="B90" s="61" t="s">
        <v>17</v>
      </c>
      <c r="D90" s="59" t="s">
        <v>28</v>
      </c>
      <c r="E90" s="61" t="s">
        <v>267</v>
      </c>
      <c r="F90" s="61" t="s">
        <v>268</v>
      </c>
      <c r="G90" s="61" t="s">
        <v>21</v>
      </c>
      <c r="H90" s="73">
        <v>350</v>
      </c>
      <c r="J90" s="59">
        <v>16.95</v>
      </c>
      <c r="K90" s="59">
        <v>5932.5</v>
      </c>
      <c r="L90" s="74" t="s">
        <v>31</v>
      </c>
      <c r="M90" s="74" t="s">
        <v>32</v>
      </c>
      <c r="N90" s="74" t="s">
        <v>23</v>
      </c>
      <c r="O90" s="74" t="s">
        <v>32</v>
      </c>
      <c r="P90" s="59" t="s">
        <v>23</v>
      </c>
    </row>
    <row r="91" s="59" customFormat="1" spans="1:16">
      <c r="A91" s="61" t="s">
        <v>269</v>
      </c>
      <c r="B91" s="61" t="s">
        <v>17</v>
      </c>
      <c r="D91" s="59" t="s">
        <v>18</v>
      </c>
      <c r="E91" s="61" t="s">
        <v>270</v>
      </c>
      <c r="F91" s="61" t="s">
        <v>271</v>
      </c>
      <c r="G91" s="61" t="s">
        <v>23</v>
      </c>
      <c r="H91" s="73">
        <v>400</v>
      </c>
      <c r="J91" s="59">
        <v>27.9</v>
      </c>
      <c r="K91" s="59">
        <v>11160</v>
      </c>
      <c r="L91" s="74" t="s">
        <v>31</v>
      </c>
      <c r="M91" s="74" t="s">
        <v>52</v>
      </c>
      <c r="N91" s="74" t="s">
        <v>23</v>
      </c>
      <c r="O91" s="74" t="s">
        <v>52</v>
      </c>
      <c r="P91" s="59" t="s">
        <v>23</v>
      </c>
    </row>
    <row r="92" s="59" customFormat="1" spans="1:16">
      <c r="A92" s="61" t="s">
        <v>272</v>
      </c>
      <c r="B92" s="61" t="s">
        <v>17</v>
      </c>
      <c r="D92" s="59" t="s">
        <v>28</v>
      </c>
      <c r="E92" s="61" t="s">
        <v>273</v>
      </c>
      <c r="F92" s="61" t="s">
        <v>274</v>
      </c>
      <c r="G92" s="61" t="s">
        <v>21</v>
      </c>
      <c r="H92" s="73">
        <v>200</v>
      </c>
      <c r="J92" s="59">
        <v>22</v>
      </c>
      <c r="K92" s="59">
        <v>4400</v>
      </c>
      <c r="L92" s="74" t="s">
        <v>31</v>
      </c>
      <c r="M92" s="74" t="s">
        <v>32</v>
      </c>
      <c r="N92" s="74" t="s">
        <v>23</v>
      </c>
      <c r="O92" s="74" t="s">
        <v>32</v>
      </c>
      <c r="P92" s="59" t="s">
        <v>23</v>
      </c>
    </row>
    <row r="93" s="59" customFormat="1" spans="1:16">
      <c r="A93" s="61" t="s">
        <v>275</v>
      </c>
      <c r="B93" s="61" t="s">
        <v>17</v>
      </c>
      <c r="D93" s="59" t="s">
        <v>18</v>
      </c>
      <c r="E93" s="61" t="s">
        <v>276</v>
      </c>
      <c r="F93" s="61" t="s">
        <v>277</v>
      </c>
      <c r="G93" s="61" t="s">
        <v>21</v>
      </c>
      <c r="H93" s="73">
        <v>315</v>
      </c>
      <c r="J93" s="59">
        <v>16.825</v>
      </c>
      <c r="K93" s="59">
        <v>5299.875</v>
      </c>
      <c r="L93" s="74" t="s">
        <v>22</v>
      </c>
      <c r="P93" s="59" t="s">
        <v>23</v>
      </c>
    </row>
    <row r="94" s="59" customFormat="1" spans="1:16">
      <c r="A94" s="61" t="s">
        <v>278</v>
      </c>
      <c r="B94" s="61" t="s">
        <v>17</v>
      </c>
      <c r="D94" s="59" t="s">
        <v>18</v>
      </c>
      <c r="E94" s="61" t="s">
        <v>279</v>
      </c>
      <c r="F94" s="61" t="s">
        <v>280</v>
      </c>
      <c r="G94" s="61" t="s">
        <v>21</v>
      </c>
      <c r="H94" s="73">
        <v>800</v>
      </c>
      <c r="J94" s="59">
        <v>14.35</v>
      </c>
      <c r="K94" s="59">
        <v>11480</v>
      </c>
      <c r="L94" s="74" t="s">
        <v>31</v>
      </c>
      <c r="M94" s="74" t="s">
        <v>125</v>
      </c>
      <c r="N94" s="74" t="s">
        <v>23</v>
      </c>
      <c r="O94" s="74" t="s">
        <v>125</v>
      </c>
      <c r="P94" s="59" t="s">
        <v>23</v>
      </c>
    </row>
    <row r="95" s="59" customFormat="1" spans="1:16">
      <c r="A95" s="61" t="s">
        <v>281</v>
      </c>
      <c r="B95" s="61" t="s">
        <v>17</v>
      </c>
      <c r="D95" s="59" t="s">
        <v>18</v>
      </c>
      <c r="E95" s="61" t="s">
        <v>282</v>
      </c>
      <c r="F95" s="61" t="s">
        <v>283</v>
      </c>
      <c r="G95" s="61" t="s">
        <v>21</v>
      </c>
      <c r="H95" s="73">
        <v>100</v>
      </c>
      <c r="J95" s="59">
        <v>8.045</v>
      </c>
      <c r="K95" s="59">
        <v>804.5</v>
      </c>
      <c r="L95" s="74" t="s">
        <v>31</v>
      </c>
      <c r="M95" s="74" t="s">
        <v>284</v>
      </c>
      <c r="N95" s="74" t="s">
        <v>21</v>
      </c>
      <c r="P95" s="59" t="s">
        <v>23</v>
      </c>
    </row>
    <row r="96" s="59" customFormat="1" spans="1:16">
      <c r="A96" s="61" t="s">
        <v>285</v>
      </c>
      <c r="B96" s="61" t="s">
        <v>49</v>
      </c>
      <c r="D96" s="59" t="s">
        <v>18</v>
      </c>
      <c r="E96" s="61" t="s">
        <v>286</v>
      </c>
      <c r="F96" s="61" t="s">
        <v>287</v>
      </c>
      <c r="G96" s="61" t="s">
        <v>21</v>
      </c>
      <c r="H96" s="73">
        <v>350</v>
      </c>
      <c r="J96" s="59">
        <v>33.426</v>
      </c>
      <c r="K96" s="59">
        <v>11699.1</v>
      </c>
      <c r="L96" s="74" t="s">
        <v>31</v>
      </c>
      <c r="M96" s="74" t="s">
        <v>125</v>
      </c>
      <c r="N96" s="74" t="s">
        <v>23</v>
      </c>
      <c r="O96" s="74" t="s">
        <v>125</v>
      </c>
      <c r="P96" s="59" t="s">
        <v>23</v>
      </c>
    </row>
    <row r="97" s="59" customFormat="1" spans="1:16">
      <c r="A97" s="61" t="s">
        <v>288</v>
      </c>
      <c r="B97" s="61" t="s">
        <v>49</v>
      </c>
      <c r="D97" s="59" t="s">
        <v>18</v>
      </c>
      <c r="E97" s="61" t="s">
        <v>286</v>
      </c>
      <c r="F97" s="61" t="s">
        <v>287</v>
      </c>
      <c r="G97" s="61" t="s">
        <v>21</v>
      </c>
      <c r="H97" s="73">
        <v>80</v>
      </c>
      <c r="J97" s="59">
        <v>33.426</v>
      </c>
      <c r="K97" s="59">
        <v>2674.08</v>
      </c>
      <c r="L97" s="74" t="s">
        <v>31</v>
      </c>
      <c r="M97" s="74" t="s">
        <v>125</v>
      </c>
      <c r="N97" s="74" t="s">
        <v>23</v>
      </c>
      <c r="O97" s="74" t="s">
        <v>125</v>
      </c>
      <c r="P97" s="59" t="s">
        <v>23</v>
      </c>
    </row>
    <row r="98" s="59" customFormat="1" spans="1:16">
      <c r="A98" s="61" t="s">
        <v>289</v>
      </c>
      <c r="B98" s="61" t="s">
        <v>17</v>
      </c>
      <c r="D98" s="59" t="s">
        <v>28</v>
      </c>
      <c r="E98" s="61" t="s">
        <v>290</v>
      </c>
      <c r="F98" s="61" t="s">
        <v>291</v>
      </c>
      <c r="G98" s="61" t="s">
        <v>23</v>
      </c>
      <c r="H98" s="73">
        <v>150</v>
      </c>
      <c r="J98" s="59">
        <v>7.3022</v>
      </c>
      <c r="K98" s="59">
        <v>1095.33</v>
      </c>
      <c r="L98" s="74" t="s">
        <v>31</v>
      </c>
      <c r="M98" s="74" t="s">
        <v>32</v>
      </c>
      <c r="N98" s="74" t="s">
        <v>23</v>
      </c>
      <c r="O98" s="74" t="s">
        <v>32</v>
      </c>
      <c r="P98" s="59" t="s">
        <v>23</v>
      </c>
    </row>
    <row r="99" s="59" customFormat="1" spans="1:16">
      <c r="A99" s="61" t="s">
        <v>292</v>
      </c>
      <c r="B99" s="61" t="s">
        <v>17</v>
      </c>
      <c r="D99" s="59" t="s">
        <v>28</v>
      </c>
      <c r="E99" s="61" t="s">
        <v>293</v>
      </c>
      <c r="F99" s="61" t="s">
        <v>294</v>
      </c>
      <c r="G99" s="61" t="s">
        <v>23</v>
      </c>
      <c r="H99" s="73">
        <v>16</v>
      </c>
      <c r="J99" s="59">
        <v>5.0375</v>
      </c>
      <c r="K99" s="59">
        <v>80.6</v>
      </c>
      <c r="L99" s="74" t="s">
        <v>31</v>
      </c>
      <c r="M99" s="74" t="s">
        <v>32</v>
      </c>
      <c r="N99" s="74" t="s">
        <v>23</v>
      </c>
      <c r="O99" s="74" t="s">
        <v>32</v>
      </c>
      <c r="P99" s="59" t="s">
        <v>23</v>
      </c>
    </row>
    <row r="100" s="59" customFormat="1" spans="1:16">
      <c r="A100" s="61" t="s">
        <v>295</v>
      </c>
      <c r="B100" s="61" t="s">
        <v>17</v>
      </c>
      <c r="D100" s="59" t="s">
        <v>18</v>
      </c>
      <c r="E100" s="61" t="s">
        <v>296</v>
      </c>
      <c r="F100" s="61" t="s">
        <v>297</v>
      </c>
      <c r="G100" s="61" t="s">
        <v>21</v>
      </c>
      <c r="H100" s="73">
        <v>350</v>
      </c>
      <c r="J100" s="59">
        <v>13.5</v>
      </c>
      <c r="K100" s="59">
        <v>4725</v>
      </c>
      <c r="L100" s="74" t="s">
        <v>31</v>
      </c>
      <c r="M100" s="74" t="s">
        <v>52</v>
      </c>
      <c r="N100" s="74" t="s">
        <v>23</v>
      </c>
      <c r="O100" s="74" t="s">
        <v>52</v>
      </c>
      <c r="P100" s="59" t="s">
        <v>23</v>
      </c>
    </row>
    <row r="101" s="59" customFormat="1" spans="1:16">
      <c r="A101" s="61" t="s">
        <v>298</v>
      </c>
      <c r="B101" s="61" t="s">
        <v>17</v>
      </c>
      <c r="D101" s="59" t="s">
        <v>18</v>
      </c>
      <c r="E101" s="61" t="s">
        <v>296</v>
      </c>
      <c r="F101" s="61" t="s">
        <v>297</v>
      </c>
      <c r="G101" s="61" t="s">
        <v>21</v>
      </c>
      <c r="H101" s="73">
        <v>30</v>
      </c>
      <c r="J101" s="59">
        <v>13.5</v>
      </c>
      <c r="K101" s="59">
        <v>405</v>
      </c>
      <c r="L101" s="74" t="s">
        <v>31</v>
      </c>
      <c r="M101" s="74" t="s">
        <v>52</v>
      </c>
      <c r="N101" s="74" t="s">
        <v>23</v>
      </c>
      <c r="O101" s="74" t="s">
        <v>52</v>
      </c>
      <c r="P101" s="59" t="s">
        <v>23</v>
      </c>
    </row>
    <row r="102" s="59" customFormat="1" spans="1:16">
      <c r="A102" s="61" t="s">
        <v>299</v>
      </c>
      <c r="B102" s="61" t="s">
        <v>17</v>
      </c>
      <c r="D102" s="59" t="s">
        <v>18</v>
      </c>
      <c r="E102" s="61" t="s">
        <v>300</v>
      </c>
      <c r="F102" s="61" t="s">
        <v>301</v>
      </c>
      <c r="G102" s="61" t="s">
        <v>21</v>
      </c>
      <c r="H102" s="73">
        <v>512</v>
      </c>
      <c r="J102" s="59">
        <v>22.411</v>
      </c>
      <c r="K102" s="59">
        <v>11474.432</v>
      </c>
      <c r="L102" s="74" t="s">
        <v>31</v>
      </c>
      <c r="M102" s="74" t="s">
        <v>52</v>
      </c>
      <c r="N102" s="74" t="s">
        <v>23</v>
      </c>
      <c r="O102" s="74" t="s">
        <v>52</v>
      </c>
      <c r="P102" s="59" t="s">
        <v>23</v>
      </c>
    </row>
    <row r="103" s="59" customFormat="1" spans="1:16">
      <c r="A103" s="61" t="s">
        <v>302</v>
      </c>
      <c r="B103" s="61" t="s">
        <v>17</v>
      </c>
      <c r="D103" s="59" t="s">
        <v>28</v>
      </c>
      <c r="E103" s="61" t="s">
        <v>303</v>
      </c>
      <c r="F103" s="61" t="s">
        <v>304</v>
      </c>
      <c r="G103" s="61" t="s">
        <v>23</v>
      </c>
      <c r="H103" s="73">
        <v>30</v>
      </c>
      <c r="J103" s="59">
        <v>20.5</v>
      </c>
      <c r="K103" s="59">
        <v>615</v>
      </c>
      <c r="L103" s="74" t="s">
        <v>31</v>
      </c>
      <c r="M103" s="74" t="s">
        <v>32</v>
      </c>
      <c r="N103" s="74" t="s">
        <v>23</v>
      </c>
      <c r="O103" s="74" t="s">
        <v>32</v>
      </c>
      <c r="P103" s="59" t="s">
        <v>23</v>
      </c>
    </row>
    <row r="104" s="59" customFormat="1" spans="1:16">
      <c r="A104" s="61" t="s">
        <v>305</v>
      </c>
      <c r="B104" s="61" t="s">
        <v>17</v>
      </c>
      <c r="D104" s="59" t="s">
        <v>18</v>
      </c>
      <c r="E104" s="61" t="s">
        <v>306</v>
      </c>
      <c r="F104" s="61" t="s">
        <v>307</v>
      </c>
      <c r="G104" s="61" t="s">
        <v>21</v>
      </c>
      <c r="H104" s="73">
        <v>1000</v>
      </c>
      <c r="J104" s="59">
        <v>18.8</v>
      </c>
      <c r="K104" s="59">
        <v>18800</v>
      </c>
      <c r="L104" s="74" t="s">
        <v>31</v>
      </c>
      <c r="M104" s="74" t="s">
        <v>125</v>
      </c>
      <c r="N104" s="74" t="s">
        <v>23</v>
      </c>
      <c r="O104" s="74" t="s">
        <v>125</v>
      </c>
      <c r="P104" s="59" t="s">
        <v>23</v>
      </c>
    </row>
    <row r="105" s="59" customFormat="1" spans="1:16">
      <c r="A105" s="61" t="s">
        <v>308</v>
      </c>
      <c r="B105" s="61" t="s">
        <v>17</v>
      </c>
      <c r="D105" s="59" t="s">
        <v>18</v>
      </c>
      <c r="E105" s="61" t="s">
        <v>303</v>
      </c>
      <c r="F105" s="61" t="s">
        <v>304</v>
      </c>
      <c r="G105" s="61" t="s">
        <v>23</v>
      </c>
      <c r="H105" s="73">
        <v>300</v>
      </c>
      <c r="J105" s="59">
        <v>20.5</v>
      </c>
      <c r="K105" s="59">
        <v>6150</v>
      </c>
      <c r="L105" s="74" t="s">
        <v>31</v>
      </c>
      <c r="M105" s="74" t="s">
        <v>158</v>
      </c>
      <c r="N105" s="74" t="s">
        <v>23</v>
      </c>
      <c r="O105" s="74" t="s">
        <v>158</v>
      </c>
      <c r="P105" s="59" t="s">
        <v>23</v>
      </c>
    </row>
    <row r="106" s="59" customFormat="1" spans="1:16">
      <c r="A106" s="61" t="s">
        <v>309</v>
      </c>
      <c r="B106" s="61" t="s">
        <v>17</v>
      </c>
      <c r="D106" s="59" t="s">
        <v>18</v>
      </c>
      <c r="E106" s="61" t="s">
        <v>310</v>
      </c>
      <c r="F106" s="61" t="s">
        <v>311</v>
      </c>
      <c r="G106" s="61" t="s">
        <v>23</v>
      </c>
      <c r="H106" s="73">
        <v>250</v>
      </c>
      <c r="J106" s="59">
        <v>15</v>
      </c>
      <c r="K106" s="59">
        <v>3750</v>
      </c>
      <c r="L106" s="74" t="s">
        <v>31</v>
      </c>
      <c r="M106" s="74" t="s">
        <v>158</v>
      </c>
      <c r="N106" s="74" t="s">
        <v>23</v>
      </c>
      <c r="O106" s="74" t="s">
        <v>158</v>
      </c>
      <c r="P106" s="59" t="s">
        <v>23</v>
      </c>
    </row>
    <row r="107" s="59" customFormat="1" spans="1:16">
      <c r="A107" s="61" t="s">
        <v>312</v>
      </c>
      <c r="B107" s="61" t="s">
        <v>17</v>
      </c>
      <c r="D107" s="59" t="s">
        <v>28</v>
      </c>
      <c r="E107" s="61" t="s">
        <v>310</v>
      </c>
      <c r="F107" s="61" t="s">
        <v>311</v>
      </c>
      <c r="G107" s="61" t="s">
        <v>23</v>
      </c>
      <c r="H107" s="73">
        <v>30</v>
      </c>
      <c r="J107" s="59">
        <v>15</v>
      </c>
      <c r="K107" s="59">
        <v>450</v>
      </c>
      <c r="L107" s="74" t="s">
        <v>31</v>
      </c>
      <c r="M107" s="74" t="s">
        <v>32</v>
      </c>
      <c r="N107" s="74" t="s">
        <v>23</v>
      </c>
      <c r="O107" s="74" t="s">
        <v>32</v>
      </c>
      <c r="P107" s="59" t="s">
        <v>23</v>
      </c>
    </row>
    <row r="108" s="59" customFormat="1" spans="1:16">
      <c r="A108" s="61" t="s">
        <v>313</v>
      </c>
      <c r="B108" s="61" t="s">
        <v>17</v>
      </c>
      <c r="D108" s="59" t="s">
        <v>28</v>
      </c>
      <c r="E108" s="61" t="s">
        <v>314</v>
      </c>
      <c r="F108" s="61" t="s">
        <v>315</v>
      </c>
      <c r="G108" s="61" t="s">
        <v>21</v>
      </c>
      <c r="H108" s="73">
        <v>50</v>
      </c>
      <c r="J108" s="59">
        <v>30.265</v>
      </c>
      <c r="K108" s="59">
        <v>1513.25</v>
      </c>
      <c r="L108" s="74" t="s">
        <v>31</v>
      </c>
      <c r="M108" s="74" t="s">
        <v>32</v>
      </c>
      <c r="N108" s="74" t="s">
        <v>23</v>
      </c>
      <c r="O108" s="74" t="s">
        <v>32</v>
      </c>
      <c r="P108" s="59" t="s">
        <v>23</v>
      </c>
    </row>
    <row r="109" s="59" customFormat="1" spans="1:16">
      <c r="A109" s="61" t="s">
        <v>316</v>
      </c>
      <c r="B109" s="61" t="s">
        <v>17</v>
      </c>
      <c r="D109" s="59" t="s">
        <v>18</v>
      </c>
      <c r="E109" s="61" t="s">
        <v>317</v>
      </c>
      <c r="F109" s="61" t="s">
        <v>318</v>
      </c>
      <c r="G109" s="61" t="s">
        <v>21</v>
      </c>
      <c r="H109" s="73">
        <v>350</v>
      </c>
      <c r="J109" s="59">
        <v>21.5</v>
      </c>
      <c r="K109" s="59">
        <v>7525</v>
      </c>
      <c r="L109" s="74" t="s">
        <v>31</v>
      </c>
      <c r="M109" s="74" t="s">
        <v>125</v>
      </c>
      <c r="N109" s="74" t="s">
        <v>23</v>
      </c>
      <c r="O109" s="74" t="s">
        <v>125</v>
      </c>
      <c r="P109" s="59" t="s">
        <v>23</v>
      </c>
    </row>
    <row r="110" s="59" customFormat="1" spans="1:16">
      <c r="A110" s="61" t="s">
        <v>319</v>
      </c>
      <c r="B110" s="61" t="s">
        <v>17</v>
      </c>
      <c r="D110" s="59" t="s">
        <v>18</v>
      </c>
      <c r="E110" s="61" t="s">
        <v>320</v>
      </c>
      <c r="F110" s="61" t="s">
        <v>321</v>
      </c>
      <c r="G110" s="61" t="s">
        <v>21</v>
      </c>
      <c r="H110" s="73">
        <v>500</v>
      </c>
      <c r="J110" s="59">
        <v>17</v>
      </c>
      <c r="K110" s="59">
        <v>8500</v>
      </c>
      <c r="L110" s="74" t="s">
        <v>31</v>
      </c>
      <c r="M110" s="74" t="s">
        <v>125</v>
      </c>
      <c r="N110" s="74" t="s">
        <v>23</v>
      </c>
      <c r="O110" s="74" t="s">
        <v>125</v>
      </c>
      <c r="P110" s="59" t="s">
        <v>23</v>
      </c>
    </row>
    <row r="111" s="59" customFormat="1" spans="1:16">
      <c r="A111" s="61" t="s">
        <v>322</v>
      </c>
      <c r="B111" s="61" t="s">
        <v>17</v>
      </c>
      <c r="D111" s="59" t="s">
        <v>18</v>
      </c>
      <c r="E111" s="61" t="s">
        <v>323</v>
      </c>
      <c r="F111" s="61" t="s">
        <v>324</v>
      </c>
      <c r="G111" s="61" t="s">
        <v>21</v>
      </c>
      <c r="H111" s="73">
        <v>200</v>
      </c>
      <c r="J111" s="59">
        <v>18.35</v>
      </c>
      <c r="K111" s="59">
        <v>3670</v>
      </c>
      <c r="L111" s="74" t="s">
        <v>31</v>
      </c>
      <c r="M111" s="74" t="s">
        <v>52</v>
      </c>
      <c r="N111" s="74" t="s">
        <v>23</v>
      </c>
      <c r="O111" s="74" t="s">
        <v>52</v>
      </c>
      <c r="P111" s="59" t="s">
        <v>23</v>
      </c>
    </row>
    <row r="112" s="59" customFormat="1" spans="1:16">
      <c r="A112" s="61" t="s">
        <v>325</v>
      </c>
      <c r="B112" s="61" t="s">
        <v>17</v>
      </c>
      <c r="D112" s="59" t="s">
        <v>18</v>
      </c>
      <c r="E112" s="61" t="s">
        <v>314</v>
      </c>
      <c r="F112" s="61" t="s">
        <v>315</v>
      </c>
      <c r="G112" s="61" t="s">
        <v>21</v>
      </c>
      <c r="H112" s="73">
        <v>520</v>
      </c>
      <c r="J112" s="59">
        <v>30.265</v>
      </c>
      <c r="K112" s="59">
        <v>15737.8</v>
      </c>
      <c r="L112" s="74" t="s">
        <v>31</v>
      </c>
      <c r="M112" s="74" t="s">
        <v>52</v>
      </c>
      <c r="N112" s="74" t="s">
        <v>23</v>
      </c>
      <c r="O112" s="74" t="s">
        <v>52</v>
      </c>
      <c r="P112" s="59" t="s">
        <v>23</v>
      </c>
    </row>
    <row r="113" s="59" customFormat="1" spans="1:16">
      <c r="A113" s="61" t="s">
        <v>326</v>
      </c>
      <c r="B113" s="61" t="s">
        <v>17</v>
      </c>
      <c r="D113" s="59" t="s">
        <v>18</v>
      </c>
      <c r="E113" s="61" t="s">
        <v>327</v>
      </c>
      <c r="F113" s="61" t="s">
        <v>328</v>
      </c>
      <c r="G113" s="61" t="s">
        <v>21</v>
      </c>
      <c r="H113" s="73">
        <v>300</v>
      </c>
      <c r="J113" s="59">
        <v>24.0343</v>
      </c>
      <c r="K113" s="59">
        <v>7210.29</v>
      </c>
      <c r="L113" s="74" t="s">
        <v>31</v>
      </c>
      <c r="M113" s="74" t="s">
        <v>52</v>
      </c>
      <c r="N113" s="74" t="s">
        <v>23</v>
      </c>
      <c r="O113" s="74" t="s">
        <v>52</v>
      </c>
      <c r="P113" s="59" t="s">
        <v>23</v>
      </c>
    </row>
    <row r="114" s="59" customFormat="1" spans="1:16">
      <c r="A114" s="61" t="s">
        <v>329</v>
      </c>
      <c r="B114" s="61" t="s">
        <v>17</v>
      </c>
      <c r="D114" s="59" t="s">
        <v>18</v>
      </c>
      <c r="E114" s="61" t="s">
        <v>330</v>
      </c>
      <c r="F114" s="61" t="s">
        <v>331</v>
      </c>
      <c r="G114" s="61" t="s">
        <v>21</v>
      </c>
      <c r="H114" s="73">
        <v>200</v>
      </c>
      <c r="J114" s="59">
        <v>20.35</v>
      </c>
      <c r="K114" s="59">
        <v>4070</v>
      </c>
      <c r="L114" s="74" t="s">
        <v>31</v>
      </c>
      <c r="M114" s="74" t="s">
        <v>52</v>
      </c>
      <c r="N114" s="74" t="s">
        <v>23</v>
      </c>
      <c r="O114" s="74" t="s">
        <v>52</v>
      </c>
      <c r="P114" s="59" t="s">
        <v>23</v>
      </c>
    </row>
    <row r="115" s="59" customFormat="1" spans="1:16">
      <c r="A115" s="61" t="s">
        <v>332</v>
      </c>
      <c r="B115" s="61" t="s">
        <v>17</v>
      </c>
      <c r="D115" s="59" t="s">
        <v>28</v>
      </c>
      <c r="E115" s="61" t="s">
        <v>333</v>
      </c>
      <c r="F115" s="61" t="s">
        <v>334</v>
      </c>
      <c r="G115" s="61" t="s">
        <v>23</v>
      </c>
      <c r="H115" s="73">
        <v>16</v>
      </c>
      <c r="J115" s="59">
        <v>8</v>
      </c>
      <c r="K115" s="59">
        <v>128</v>
      </c>
      <c r="L115" s="74" t="s">
        <v>31</v>
      </c>
      <c r="M115" s="74" t="s">
        <v>32</v>
      </c>
      <c r="N115" s="74" t="s">
        <v>23</v>
      </c>
      <c r="O115" s="74" t="s">
        <v>32</v>
      </c>
      <c r="P115" s="59" t="s">
        <v>23</v>
      </c>
    </row>
    <row r="116" s="59" customFormat="1" spans="1:16">
      <c r="A116" s="61" t="s">
        <v>335</v>
      </c>
      <c r="B116" s="61" t="s">
        <v>17</v>
      </c>
      <c r="D116" s="59" t="s">
        <v>18</v>
      </c>
      <c r="E116" s="61" t="s">
        <v>336</v>
      </c>
      <c r="F116" s="61" t="s">
        <v>337</v>
      </c>
      <c r="G116" s="61" t="s">
        <v>23</v>
      </c>
      <c r="H116" s="73">
        <v>250</v>
      </c>
      <c r="J116" s="59">
        <v>10.3</v>
      </c>
      <c r="K116" s="59">
        <v>2575</v>
      </c>
      <c r="L116" s="74" t="s">
        <v>22</v>
      </c>
      <c r="P116" s="59" t="s">
        <v>23</v>
      </c>
    </row>
    <row r="117" s="59" customFormat="1" spans="1:16">
      <c r="A117" s="61" t="s">
        <v>338</v>
      </c>
      <c r="B117" s="61" t="s">
        <v>17</v>
      </c>
      <c r="D117" s="59" t="s">
        <v>28</v>
      </c>
      <c r="E117" s="61" t="s">
        <v>197</v>
      </c>
      <c r="F117" s="61" t="s">
        <v>198</v>
      </c>
      <c r="G117" s="61" t="s">
        <v>23</v>
      </c>
      <c r="H117" s="73">
        <v>50</v>
      </c>
      <c r="J117" s="59">
        <v>1.71</v>
      </c>
      <c r="K117" s="59">
        <v>85.5</v>
      </c>
      <c r="L117" s="74" t="s">
        <v>31</v>
      </c>
      <c r="M117" s="74" t="s">
        <v>32</v>
      </c>
      <c r="N117" s="74" t="s">
        <v>23</v>
      </c>
      <c r="O117" s="74" t="s">
        <v>32</v>
      </c>
      <c r="P117" s="59" t="s">
        <v>23</v>
      </c>
    </row>
    <row r="118" s="59" customFormat="1" spans="1:16">
      <c r="A118" s="61" t="s">
        <v>339</v>
      </c>
      <c r="B118" s="61" t="s">
        <v>58</v>
      </c>
      <c r="D118" s="59" t="s">
        <v>18</v>
      </c>
      <c r="E118" s="61" t="s">
        <v>340</v>
      </c>
      <c r="F118" s="61" t="s">
        <v>341</v>
      </c>
      <c r="G118" s="61" t="s">
        <v>21</v>
      </c>
      <c r="H118" s="73">
        <v>1000</v>
      </c>
      <c r="J118" s="59">
        <v>27.54</v>
      </c>
      <c r="K118" s="59">
        <v>27540</v>
      </c>
      <c r="L118" s="74" t="s">
        <v>31</v>
      </c>
      <c r="M118" s="74" t="s">
        <v>52</v>
      </c>
      <c r="N118" s="74" t="s">
        <v>23</v>
      </c>
      <c r="O118" s="74" t="s">
        <v>52</v>
      </c>
      <c r="P118" s="59" t="s">
        <v>21</v>
      </c>
    </row>
    <row r="119" s="59" customFormat="1" spans="1:16">
      <c r="A119" s="61" t="s">
        <v>342</v>
      </c>
      <c r="B119" s="61" t="s">
        <v>17</v>
      </c>
      <c r="D119" s="59" t="s">
        <v>18</v>
      </c>
      <c r="E119" s="61" t="s">
        <v>343</v>
      </c>
      <c r="F119" s="61" t="s">
        <v>344</v>
      </c>
      <c r="G119" s="61" t="s">
        <v>21</v>
      </c>
      <c r="H119" s="73">
        <v>500</v>
      </c>
      <c r="J119" s="59">
        <v>19.5</v>
      </c>
      <c r="K119" s="59">
        <v>9750</v>
      </c>
      <c r="L119" s="74" t="s">
        <v>31</v>
      </c>
      <c r="M119" s="74" t="s">
        <v>52</v>
      </c>
      <c r="N119" s="74" t="s">
        <v>23</v>
      </c>
      <c r="O119" s="74" t="s">
        <v>52</v>
      </c>
      <c r="P119" s="59" t="s">
        <v>23</v>
      </c>
    </row>
    <row r="120" s="59" customFormat="1" spans="1:16">
      <c r="A120" s="61" t="s">
        <v>345</v>
      </c>
      <c r="B120" s="61" t="s">
        <v>17</v>
      </c>
      <c r="D120" s="59" t="s">
        <v>28</v>
      </c>
      <c r="E120" s="61" t="s">
        <v>346</v>
      </c>
      <c r="F120" s="61" t="s">
        <v>347</v>
      </c>
      <c r="G120" s="61" t="s">
        <v>21</v>
      </c>
      <c r="H120" s="73">
        <v>200</v>
      </c>
      <c r="J120" s="59">
        <v>12</v>
      </c>
      <c r="K120" s="59">
        <v>2400</v>
      </c>
      <c r="L120" s="74" t="s">
        <v>31</v>
      </c>
      <c r="M120" s="74" t="s">
        <v>32</v>
      </c>
      <c r="N120" s="74" t="s">
        <v>23</v>
      </c>
      <c r="O120" s="74" t="s">
        <v>32</v>
      </c>
      <c r="P120" s="59" t="s">
        <v>23</v>
      </c>
    </row>
    <row r="121" s="59" customFormat="1" spans="1:16">
      <c r="A121" s="61" t="s">
        <v>348</v>
      </c>
      <c r="B121" s="61" t="s">
        <v>17</v>
      </c>
      <c r="D121" s="59" t="s">
        <v>28</v>
      </c>
      <c r="E121" s="61" t="s">
        <v>349</v>
      </c>
      <c r="F121" s="61" t="s">
        <v>350</v>
      </c>
      <c r="G121" s="61" t="s">
        <v>23</v>
      </c>
      <c r="H121" s="73">
        <v>16</v>
      </c>
      <c r="J121" s="59">
        <v>8</v>
      </c>
      <c r="K121" s="59">
        <v>128</v>
      </c>
      <c r="L121" s="74" t="s">
        <v>31</v>
      </c>
      <c r="M121" s="74" t="s">
        <v>32</v>
      </c>
      <c r="N121" s="74" t="s">
        <v>23</v>
      </c>
      <c r="O121" s="74" t="s">
        <v>32</v>
      </c>
      <c r="P121" s="59" t="s">
        <v>23</v>
      </c>
    </row>
    <row r="122" s="59" customFormat="1" spans="1:16">
      <c r="A122" s="61" t="s">
        <v>351</v>
      </c>
      <c r="B122" s="61" t="s">
        <v>17</v>
      </c>
      <c r="D122" s="59" t="s">
        <v>18</v>
      </c>
      <c r="E122" s="61" t="s">
        <v>352</v>
      </c>
      <c r="F122" s="61" t="s">
        <v>353</v>
      </c>
      <c r="G122" s="61" t="s">
        <v>23</v>
      </c>
      <c r="H122" s="73">
        <v>520</v>
      </c>
      <c r="J122" s="59">
        <v>15.99</v>
      </c>
      <c r="K122" s="59">
        <v>8314.8</v>
      </c>
      <c r="L122" s="74" t="s">
        <v>22</v>
      </c>
      <c r="P122" s="59" t="s">
        <v>23</v>
      </c>
    </row>
    <row r="123" s="59" customFormat="1" spans="1:16">
      <c r="A123" s="61" t="s">
        <v>354</v>
      </c>
      <c r="B123" s="61" t="s">
        <v>17</v>
      </c>
      <c r="D123" s="59" t="s">
        <v>18</v>
      </c>
      <c r="E123" s="61" t="s">
        <v>327</v>
      </c>
      <c r="F123" s="61" t="s">
        <v>328</v>
      </c>
      <c r="G123" s="61" t="s">
        <v>21</v>
      </c>
      <c r="H123" s="73">
        <v>300</v>
      </c>
      <c r="J123" s="59">
        <v>24.0343</v>
      </c>
      <c r="K123" s="59">
        <v>7210.29</v>
      </c>
      <c r="L123" s="74" t="s">
        <v>31</v>
      </c>
      <c r="M123" s="74" t="s">
        <v>52</v>
      </c>
      <c r="N123" s="74" t="s">
        <v>23</v>
      </c>
      <c r="O123" s="74" t="s">
        <v>52</v>
      </c>
      <c r="P123" s="59" t="s">
        <v>23</v>
      </c>
    </row>
    <row r="124" s="59" customFormat="1" spans="1:16">
      <c r="A124" s="61" t="s">
        <v>355</v>
      </c>
      <c r="B124" s="61" t="s">
        <v>17</v>
      </c>
      <c r="D124" s="59" t="s">
        <v>18</v>
      </c>
      <c r="E124" s="61" t="s">
        <v>356</v>
      </c>
      <c r="F124" s="61" t="s">
        <v>357</v>
      </c>
      <c r="G124" s="61" t="s">
        <v>23</v>
      </c>
      <c r="H124" s="73">
        <v>520</v>
      </c>
      <c r="J124" s="59">
        <v>15.99</v>
      </c>
      <c r="K124" s="59">
        <v>8314.8</v>
      </c>
      <c r="L124" s="74" t="s">
        <v>22</v>
      </c>
      <c r="P124" s="59" t="s">
        <v>23</v>
      </c>
    </row>
    <row r="125" s="59" customFormat="1" spans="1:16">
      <c r="A125" s="61" t="s">
        <v>358</v>
      </c>
      <c r="B125" s="61" t="s">
        <v>17</v>
      </c>
      <c r="D125" s="59" t="s">
        <v>18</v>
      </c>
      <c r="E125" s="61" t="s">
        <v>359</v>
      </c>
      <c r="F125" s="61" t="s">
        <v>360</v>
      </c>
      <c r="G125" s="61" t="s">
        <v>21</v>
      </c>
      <c r="H125" s="73">
        <v>500</v>
      </c>
      <c r="J125" s="59">
        <v>14.141</v>
      </c>
      <c r="K125" s="59">
        <v>7070.5</v>
      </c>
      <c r="L125" s="59" t="s">
        <v>31</v>
      </c>
      <c r="M125" s="74" t="s">
        <v>52</v>
      </c>
      <c r="N125" s="59" t="s">
        <v>23</v>
      </c>
      <c r="O125" s="74" t="s">
        <v>52</v>
      </c>
      <c r="P125" s="59" t="s">
        <v>23</v>
      </c>
    </row>
    <row r="126" s="59" customFormat="1" spans="1:16">
      <c r="A126" s="61" t="s">
        <v>361</v>
      </c>
      <c r="B126" s="61" t="s">
        <v>17</v>
      </c>
      <c r="D126" s="59" t="s">
        <v>18</v>
      </c>
      <c r="E126" s="61" t="s">
        <v>85</v>
      </c>
      <c r="F126" s="61" t="s">
        <v>86</v>
      </c>
      <c r="G126" s="61" t="s">
        <v>23</v>
      </c>
      <c r="H126" s="73">
        <v>806</v>
      </c>
      <c r="J126" s="59">
        <v>14.8</v>
      </c>
      <c r="K126" s="59">
        <v>11928.8</v>
      </c>
      <c r="L126" s="74" t="s">
        <v>22</v>
      </c>
      <c r="P126" s="59" t="s">
        <v>23</v>
      </c>
    </row>
    <row r="127" s="59" customFormat="1" spans="1:16">
      <c r="A127" s="61" t="s">
        <v>362</v>
      </c>
      <c r="B127" s="61" t="s">
        <v>17</v>
      </c>
      <c r="D127" s="59" t="s">
        <v>28</v>
      </c>
      <c r="E127" s="61" t="s">
        <v>363</v>
      </c>
      <c r="F127" s="61" t="s">
        <v>364</v>
      </c>
      <c r="G127" s="61" t="s">
        <v>23</v>
      </c>
      <c r="H127" s="73">
        <v>16</v>
      </c>
      <c r="J127" s="59">
        <v>1.875</v>
      </c>
      <c r="K127" s="59">
        <v>30</v>
      </c>
      <c r="L127" s="74" t="s">
        <v>31</v>
      </c>
      <c r="M127" s="74" t="s">
        <v>32</v>
      </c>
      <c r="N127" s="74" t="s">
        <v>23</v>
      </c>
      <c r="O127" s="74" t="s">
        <v>32</v>
      </c>
      <c r="P127" s="59" t="s">
        <v>23</v>
      </c>
    </row>
    <row r="128" s="59" customFormat="1" spans="1:16">
      <c r="A128" s="61" t="s">
        <v>365</v>
      </c>
      <c r="B128" s="61" t="s">
        <v>17</v>
      </c>
      <c r="D128" s="59" t="s">
        <v>28</v>
      </c>
      <c r="E128" s="61" t="s">
        <v>366</v>
      </c>
      <c r="F128" s="61" t="s">
        <v>367</v>
      </c>
      <c r="G128" s="61" t="s">
        <v>23</v>
      </c>
      <c r="H128" s="73">
        <v>16</v>
      </c>
      <c r="J128" s="59">
        <v>10.925</v>
      </c>
      <c r="K128" s="59">
        <v>174.8</v>
      </c>
      <c r="L128" s="74" t="s">
        <v>31</v>
      </c>
      <c r="M128" s="74" t="s">
        <v>32</v>
      </c>
      <c r="N128" s="74" t="s">
        <v>23</v>
      </c>
      <c r="O128" s="74" t="s">
        <v>32</v>
      </c>
      <c r="P128" s="59" t="s">
        <v>23</v>
      </c>
    </row>
    <row r="129" s="59" customFormat="1" spans="1:16">
      <c r="A129" s="61" t="s">
        <v>368</v>
      </c>
      <c r="B129" s="61" t="s">
        <v>17</v>
      </c>
      <c r="D129" s="59" t="s">
        <v>28</v>
      </c>
      <c r="E129" s="61" t="s">
        <v>34</v>
      </c>
      <c r="F129" s="61" t="s">
        <v>35</v>
      </c>
      <c r="G129" s="61" t="s">
        <v>23</v>
      </c>
      <c r="H129" s="73">
        <v>100</v>
      </c>
      <c r="J129" s="59">
        <v>5.3</v>
      </c>
      <c r="K129" s="59">
        <v>530</v>
      </c>
      <c r="L129" s="59" t="s">
        <v>31</v>
      </c>
      <c r="M129" s="74" t="s">
        <v>32</v>
      </c>
      <c r="N129" s="74" t="s">
        <v>23</v>
      </c>
      <c r="O129" s="74" t="s">
        <v>32</v>
      </c>
      <c r="P129" s="59" t="s">
        <v>23</v>
      </c>
    </row>
    <row r="130" s="59" customFormat="1" spans="1:16">
      <c r="A130" s="61" t="s">
        <v>369</v>
      </c>
      <c r="B130" s="61" t="s">
        <v>17</v>
      </c>
      <c r="D130" s="59" t="s">
        <v>18</v>
      </c>
      <c r="E130" s="61" t="s">
        <v>370</v>
      </c>
      <c r="F130" s="61" t="s">
        <v>371</v>
      </c>
      <c r="G130" s="61" t="s">
        <v>21</v>
      </c>
      <c r="H130" s="73">
        <v>500</v>
      </c>
      <c r="J130" s="59">
        <v>15</v>
      </c>
      <c r="K130" s="59">
        <v>7500</v>
      </c>
      <c r="L130" s="74" t="s">
        <v>31</v>
      </c>
      <c r="M130" s="74" t="s">
        <v>75</v>
      </c>
      <c r="N130" s="74" t="s">
        <v>23</v>
      </c>
      <c r="O130" s="74" t="s">
        <v>75</v>
      </c>
      <c r="P130" s="59" t="s">
        <v>23</v>
      </c>
    </row>
    <row r="131" s="59" customFormat="1" spans="1:16">
      <c r="A131" s="61" t="s">
        <v>372</v>
      </c>
      <c r="B131" s="61" t="s">
        <v>17</v>
      </c>
      <c r="D131" s="59" t="s">
        <v>28</v>
      </c>
      <c r="E131" s="61" t="s">
        <v>373</v>
      </c>
      <c r="F131" s="61" t="s">
        <v>374</v>
      </c>
      <c r="G131" s="61" t="s">
        <v>23</v>
      </c>
      <c r="H131" s="73">
        <v>16</v>
      </c>
      <c r="J131" s="59">
        <v>7.375</v>
      </c>
      <c r="K131" s="59">
        <v>118</v>
      </c>
      <c r="L131" s="59" t="s">
        <v>31</v>
      </c>
      <c r="M131" s="74" t="s">
        <v>32</v>
      </c>
      <c r="N131" s="74" t="s">
        <v>23</v>
      </c>
      <c r="O131" s="74" t="s">
        <v>32</v>
      </c>
      <c r="P131" s="59" t="s">
        <v>23</v>
      </c>
    </row>
    <row r="132" s="59" customFormat="1" spans="1:16">
      <c r="A132" s="61" t="s">
        <v>375</v>
      </c>
      <c r="B132" s="61" t="s">
        <v>17</v>
      </c>
      <c r="D132" s="59" t="s">
        <v>18</v>
      </c>
      <c r="E132" s="61" t="s">
        <v>376</v>
      </c>
      <c r="F132" s="61" t="s">
        <v>377</v>
      </c>
      <c r="G132" s="61" t="s">
        <v>21</v>
      </c>
      <c r="H132" s="73">
        <v>100</v>
      </c>
      <c r="J132" s="59">
        <v>35.995</v>
      </c>
      <c r="K132" s="59">
        <v>3599.5</v>
      </c>
      <c r="L132" s="74" t="s">
        <v>31</v>
      </c>
      <c r="M132" s="74" t="s">
        <v>52</v>
      </c>
      <c r="N132" s="74" t="s">
        <v>23</v>
      </c>
      <c r="O132" s="74" t="s">
        <v>52</v>
      </c>
      <c r="P132" s="59" t="s">
        <v>23</v>
      </c>
    </row>
    <row r="133" s="59" customFormat="1" spans="1:16">
      <c r="A133" s="61" t="s">
        <v>378</v>
      </c>
      <c r="B133" s="61" t="s">
        <v>17</v>
      </c>
      <c r="D133" s="59" t="s">
        <v>28</v>
      </c>
      <c r="E133" s="61" t="s">
        <v>379</v>
      </c>
      <c r="F133" s="61" t="s">
        <v>380</v>
      </c>
      <c r="G133" s="61" t="s">
        <v>23</v>
      </c>
      <c r="H133" s="73">
        <v>16</v>
      </c>
      <c r="J133" s="59">
        <v>10.32</v>
      </c>
      <c r="K133" s="59">
        <v>165.12</v>
      </c>
      <c r="L133" s="74" t="s">
        <v>31</v>
      </c>
      <c r="M133" s="74" t="s">
        <v>32</v>
      </c>
      <c r="N133" s="74" t="s">
        <v>23</v>
      </c>
      <c r="O133" s="74" t="s">
        <v>32</v>
      </c>
      <c r="P133" s="59" t="s">
        <v>23</v>
      </c>
    </row>
    <row r="134" s="59" customFormat="1" spans="1:16">
      <c r="A134" s="61" t="s">
        <v>381</v>
      </c>
      <c r="B134" s="61" t="s">
        <v>17</v>
      </c>
      <c r="D134" s="59" t="s">
        <v>28</v>
      </c>
      <c r="E134" s="61" t="s">
        <v>382</v>
      </c>
      <c r="F134" s="61" t="s">
        <v>383</v>
      </c>
      <c r="G134" s="61" t="s">
        <v>23</v>
      </c>
      <c r="H134" s="73">
        <v>16</v>
      </c>
      <c r="J134" s="59">
        <v>10</v>
      </c>
      <c r="K134" s="59">
        <v>160</v>
      </c>
      <c r="L134" s="74" t="s">
        <v>31</v>
      </c>
      <c r="M134" s="74" t="s">
        <v>32</v>
      </c>
      <c r="N134" s="74" t="s">
        <v>23</v>
      </c>
      <c r="O134" s="74" t="s">
        <v>32</v>
      </c>
      <c r="P134" s="59" t="s">
        <v>23</v>
      </c>
    </row>
    <row r="135" s="59" customFormat="1" spans="1:16">
      <c r="A135" s="61" t="s">
        <v>384</v>
      </c>
      <c r="B135" s="61" t="s">
        <v>17</v>
      </c>
      <c r="D135" s="59" t="s">
        <v>238</v>
      </c>
      <c r="E135" s="61" t="s">
        <v>239</v>
      </c>
      <c r="F135" s="61" t="s">
        <v>240</v>
      </c>
      <c r="G135" s="61" t="s">
        <v>23</v>
      </c>
      <c r="H135" s="73">
        <v>1465</v>
      </c>
      <c r="J135" s="59">
        <v>6.2</v>
      </c>
      <c r="K135" s="59">
        <v>9083</v>
      </c>
      <c r="L135" s="74" t="s">
        <v>31</v>
      </c>
      <c r="M135" s="74" t="s">
        <v>241</v>
      </c>
      <c r="N135" s="74" t="s">
        <v>23</v>
      </c>
      <c r="O135" s="74" t="s">
        <v>241</v>
      </c>
      <c r="P135" s="59" t="s">
        <v>23</v>
      </c>
    </row>
    <row r="136" s="59" customFormat="1" spans="1:16">
      <c r="A136" s="61" t="s">
        <v>385</v>
      </c>
      <c r="B136" s="61" t="s">
        <v>58</v>
      </c>
      <c r="D136" s="59" t="s">
        <v>18</v>
      </c>
      <c r="E136" s="61" t="s">
        <v>170</v>
      </c>
      <c r="F136" s="61" t="s">
        <v>171</v>
      </c>
      <c r="G136" s="61" t="s">
        <v>21</v>
      </c>
      <c r="H136" s="73">
        <v>1000</v>
      </c>
      <c r="J136" s="59">
        <v>26.54</v>
      </c>
      <c r="K136" s="59">
        <v>26540</v>
      </c>
      <c r="L136" s="74" t="s">
        <v>31</v>
      </c>
      <c r="M136" s="74" t="s">
        <v>52</v>
      </c>
      <c r="N136" s="74" t="s">
        <v>23</v>
      </c>
      <c r="O136" s="74" t="s">
        <v>52</v>
      </c>
      <c r="P136" s="59" t="s">
        <v>21</v>
      </c>
    </row>
    <row r="137" s="59" customFormat="1" spans="1:16">
      <c r="A137" s="61" t="s">
        <v>386</v>
      </c>
      <c r="B137" s="61" t="s">
        <v>17</v>
      </c>
      <c r="D137" s="59" t="s">
        <v>18</v>
      </c>
      <c r="E137" s="61" t="s">
        <v>387</v>
      </c>
      <c r="F137" s="61" t="s">
        <v>388</v>
      </c>
      <c r="G137" s="61" t="s">
        <v>21</v>
      </c>
      <c r="H137" s="73">
        <v>200</v>
      </c>
      <c r="J137" s="59">
        <v>30.95</v>
      </c>
      <c r="K137" s="59">
        <v>6190</v>
      </c>
      <c r="L137" s="74" t="s">
        <v>31</v>
      </c>
      <c r="M137" s="74" t="s">
        <v>125</v>
      </c>
      <c r="N137" s="74" t="s">
        <v>23</v>
      </c>
      <c r="O137" s="74" t="s">
        <v>125</v>
      </c>
      <c r="P137" s="59" t="s">
        <v>23</v>
      </c>
    </row>
    <row r="138" s="59" customFormat="1" spans="1:16">
      <c r="A138" s="61" t="s">
        <v>389</v>
      </c>
      <c r="B138" s="61" t="s">
        <v>17</v>
      </c>
      <c r="D138" s="59" t="s">
        <v>18</v>
      </c>
      <c r="E138" s="61" t="s">
        <v>390</v>
      </c>
      <c r="F138" s="61" t="s">
        <v>391</v>
      </c>
      <c r="G138" s="61" t="s">
        <v>21</v>
      </c>
      <c r="H138" s="73">
        <v>500</v>
      </c>
      <c r="J138" s="59">
        <v>18.75</v>
      </c>
      <c r="K138" s="59">
        <v>9375</v>
      </c>
      <c r="L138" s="74" t="s">
        <v>31</v>
      </c>
      <c r="M138" s="74" t="s">
        <v>125</v>
      </c>
      <c r="N138" s="74" t="s">
        <v>23</v>
      </c>
      <c r="O138" s="74" t="s">
        <v>125</v>
      </c>
      <c r="P138" s="59" t="s">
        <v>23</v>
      </c>
    </row>
    <row r="139" s="59" customFormat="1" spans="1:16">
      <c r="A139" s="61" t="s">
        <v>392</v>
      </c>
      <c r="B139" s="61" t="s">
        <v>17</v>
      </c>
      <c r="D139" s="59" t="s">
        <v>18</v>
      </c>
      <c r="E139" s="61" t="s">
        <v>393</v>
      </c>
      <c r="F139" s="61" t="s">
        <v>394</v>
      </c>
      <c r="G139" s="61" t="s">
        <v>21</v>
      </c>
      <c r="H139" s="73">
        <v>200</v>
      </c>
      <c r="J139" s="59">
        <v>11.35</v>
      </c>
      <c r="K139" s="59">
        <v>2270</v>
      </c>
      <c r="L139" s="74" t="s">
        <v>31</v>
      </c>
      <c r="M139" s="74" t="s">
        <v>125</v>
      </c>
      <c r="N139" s="74" t="s">
        <v>23</v>
      </c>
      <c r="O139" s="74" t="s">
        <v>125</v>
      </c>
      <c r="P139" s="59" t="s">
        <v>23</v>
      </c>
    </row>
    <row r="140" s="59" customFormat="1" spans="1:16">
      <c r="A140" s="61" t="s">
        <v>395</v>
      </c>
      <c r="B140" s="61" t="s">
        <v>17</v>
      </c>
      <c r="D140" s="59" t="s">
        <v>18</v>
      </c>
      <c r="E140" s="61" t="s">
        <v>396</v>
      </c>
      <c r="F140" s="61" t="s">
        <v>397</v>
      </c>
      <c r="G140" s="61" t="s">
        <v>21</v>
      </c>
      <c r="H140" s="73">
        <v>30</v>
      </c>
      <c r="J140" s="59">
        <v>10</v>
      </c>
      <c r="K140" s="59">
        <v>300</v>
      </c>
      <c r="L140" s="74" t="s">
        <v>31</v>
      </c>
      <c r="M140" s="74" t="s">
        <v>75</v>
      </c>
      <c r="N140" s="74" t="s">
        <v>23</v>
      </c>
      <c r="O140" s="74" t="s">
        <v>75</v>
      </c>
      <c r="P140" s="59" t="s">
        <v>23</v>
      </c>
    </row>
    <row r="141" s="59" customFormat="1" spans="1:16">
      <c r="A141" s="61" t="s">
        <v>398</v>
      </c>
      <c r="B141" s="61" t="s">
        <v>17</v>
      </c>
      <c r="D141" s="59" t="s">
        <v>28</v>
      </c>
      <c r="E141" s="61" t="s">
        <v>399</v>
      </c>
      <c r="F141" s="61" t="s">
        <v>400</v>
      </c>
      <c r="G141" s="61" t="s">
        <v>23</v>
      </c>
      <c r="H141" s="73">
        <v>16</v>
      </c>
      <c r="J141" s="59">
        <v>11.5</v>
      </c>
      <c r="K141" s="59">
        <v>184</v>
      </c>
      <c r="L141" s="74" t="s">
        <v>31</v>
      </c>
      <c r="M141" s="74" t="s">
        <v>32</v>
      </c>
      <c r="N141" s="74" t="s">
        <v>23</v>
      </c>
      <c r="O141" s="74" t="s">
        <v>32</v>
      </c>
      <c r="P141" s="59" t="s">
        <v>23</v>
      </c>
    </row>
    <row r="142" s="59" customFormat="1" spans="1:16">
      <c r="A142" s="61" t="s">
        <v>401</v>
      </c>
      <c r="B142" s="61" t="s">
        <v>17</v>
      </c>
      <c r="D142" s="59" t="s">
        <v>18</v>
      </c>
      <c r="E142" s="61" t="s">
        <v>396</v>
      </c>
      <c r="F142" s="61" t="s">
        <v>397</v>
      </c>
      <c r="G142" s="61" t="s">
        <v>21</v>
      </c>
      <c r="H142" s="73">
        <v>200</v>
      </c>
      <c r="J142" s="59">
        <v>10</v>
      </c>
      <c r="K142" s="59">
        <v>2000</v>
      </c>
      <c r="L142" s="74" t="s">
        <v>31</v>
      </c>
      <c r="M142" s="74" t="s">
        <v>75</v>
      </c>
      <c r="N142" s="74" t="s">
        <v>23</v>
      </c>
      <c r="O142" s="74" t="s">
        <v>75</v>
      </c>
      <c r="P142" s="59" t="s">
        <v>23</v>
      </c>
    </row>
    <row r="143" s="59" customFormat="1" spans="1:16">
      <c r="A143" s="61" t="s">
        <v>402</v>
      </c>
      <c r="B143" s="61" t="s">
        <v>17</v>
      </c>
      <c r="D143" s="59" t="s">
        <v>28</v>
      </c>
      <c r="E143" s="61" t="s">
        <v>403</v>
      </c>
      <c r="F143" s="61" t="s">
        <v>404</v>
      </c>
      <c r="G143" s="61" t="s">
        <v>23</v>
      </c>
      <c r="H143" s="73">
        <v>16</v>
      </c>
      <c r="J143" s="59">
        <v>2.3525</v>
      </c>
      <c r="K143" s="59">
        <v>37.64</v>
      </c>
      <c r="L143" s="59" t="s">
        <v>31</v>
      </c>
      <c r="M143" s="74" t="s">
        <v>32</v>
      </c>
      <c r="N143" s="74" t="s">
        <v>23</v>
      </c>
      <c r="O143" s="74" t="s">
        <v>32</v>
      </c>
      <c r="P143" s="59" t="s">
        <v>23</v>
      </c>
    </row>
    <row r="144" s="59" customFormat="1" spans="1:16">
      <c r="A144" s="61" t="s">
        <v>405</v>
      </c>
      <c r="B144" s="61" t="s">
        <v>17</v>
      </c>
      <c r="D144" s="59" t="s">
        <v>28</v>
      </c>
      <c r="E144" s="61" t="s">
        <v>406</v>
      </c>
      <c r="F144" s="61" t="s">
        <v>407</v>
      </c>
      <c r="G144" s="61" t="s">
        <v>21</v>
      </c>
      <c r="H144" s="73">
        <v>16</v>
      </c>
      <c r="J144" s="59">
        <v>2.6375</v>
      </c>
      <c r="K144" s="59">
        <v>42.2</v>
      </c>
      <c r="L144" s="59" t="s">
        <v>31</v>
      </c>
      <c r="M144" s="74" t="s">
        <v>32</v>
      </c>
      <c r="N144" s="74" t="s">
        <v>23</v>
      </c>
      <c r="O144" s="74" t="s">
        <v>32</v>
      </c>
      <c r="P144" s="59" t="s">
        <v>23</v>
      </c>
    </row>
    <row r="145" s="59" customFormat="1" spans="1:16">
      <c r="A145" s="61" t="s">
        <v>408</v>
      </c>
      <c r="B145" s="61" t="s">
        <v>17</v>
      </c>
      <c r="D145" s="59" t="s">
        <v>28</v>
      </c>
      <c r="E145" s="61" t="s">
        <v>409</v>
      </c>
      <c r="F145" s="61" t="s">
        <v>410</v>
      </c>
      <c r="G145" s="61" t="s">
        <v>21</v>
      </c>
      <c r="H145" s="73">
        <v>16</v>
      </c>
      <c r="J145" s="59">
        <v>2.6375</v>
      </c>
      <c r="K145" s="59">
        <v>42.2</v>
      </c>
      <c r="L145" s="59" t="s">
        <v>31</v>
      </c>
      <c r="M145" s="74" t="s">
        <v>32</v>
      </c>
      <c r="N145" s="74" t="s">
        <v>23</v>
      </c>
      <c r="O145" s="74" t="s">
        <v>32</v>
      </c>
      <c r="P145" s="59" t="s">
        <v>23</v>
      </c>
    </row>
    <row r="146" s="59" customFormat="1" spans="1:16">
      <c r="A146" s="61" t="s">
        <v>411</v>
      </c>
      <c r="B146" s="61" t="s">
        <v>17</v>
      </c>
      <c r="D146" s="59" t="s">
        <v>18</v>
      </c>
      <c r="E146" s="61" t="s">
        <v>412</v>
      </c>
      <c r="F146" s="61" t="s">
        <v>413</v>
      </c>
      <c r="G146" s="61" t="s">
        <v>21</v>
      </c>
      <c r="H146" s="73">
        <v>200</v>
      </c>
      <c r="J146" s="59">
        <v>32.346</v>
      </c>
      <c r="K146" s="59">
        <v>6469.2</v>
      </c>
      <c r="L146" s="74" t="s">
        <v>31</v>
      </c>
      <c r="M146" s="74" t="s">
        <v>125</v>
      </c>
      <c r="N146" s="74" t="s">
        <v>23</v>
      </c>
      <c r="O146" s="74" t="s">
        <v>125</v>
      </c>
      <c r="P146" s="59" t="s">
        <v>23</v>
      </c>
    </row>
    <row r="147" s="59" customFormat="1" spans="1:16">
      <c r="A147" s="61" t="s">
        <v>414</v>
      </c>
      <c r="B147" s="61" t="s">
        <v>17</v>
      </c>
      <c r="D147" s="59" t="s">
        <v>18</v>
      </c>
      <c r="E147" s="61" t="s">
        <v>412</v>
      </c>
      <c r="F147" s="61" t="s">
        <v>413</v>
      </c>
      <c r="G147" s="61" t="s">
        <v>21</v>
      </c>
      <c r="H147" s="73">
        <v>30</v>
      </c>
      <c r="J147" s="59">
        <v>32.346</v>
      </c>
      <c r="K147" s="59">
        <v>970.38</v>
      </c>
      <c r="L147" s="74" t="s">
        <v>31</v>
      </c>
      <c r="M147" s="74" t="s">
        <v>125</v>
      </c>
      <c r="N147" s="74" t="s">
        <v>23</v>
      </c>
      <c r="O147" s="74" t="s">
        <v>125</v>
      </c>
      <c r="P147" s="59" t="s">
        <v>23</v>
      </c>
    </row>
    <row r="148" s="59" customFormat="1" spans="1:16">
      <c r="A148" s="61" t="s">
        <v>415</v>
      </c>
      <c r="B148" s="61" t="s">
        <v>17</v>
      </c>
      <c r="D148" s="59" t="s">
        <v>28</v>
      </c>
      <c r="E148" s="61" t="s">
        <v>416</v>
      </c>
      <c r="F148" s="61" t="s">
        <v>417</v>
      </c>
      <c r="G148" s="61" t="s">
        <v>23</v>
      </c>
      <c r="H148" s="73">
        <v>100</v>
      </c>
      <c r="J148" s="59">
        <v>9</v>
      </c>
      <c r="K148" s="59">
        <v>900</v>
      </c>
      <c r="L148" s="59" t="s">
        <v>31</v>
      </c>
      <c r="M148" s="74" t="s">
        <v>32</v>
      </c>
      <c r="N148" s="74" t="s">
        <v>23</v>
      </c>
      <c r="O148" s="74" t="s">
        <v>32</v>
      </c>
      <c r="P148" s="59" t="s">
        <v>23</v>
      </c>
    </row>
    <row r="149" s="59" customFormat="1" spans="1:16">
      <c r="A149" s="61" t="s">
        <v>418</v>
      </c>
      <c r="B149" s="61" t="s">
        <v>17</v>
      </c>
      <c r="D149" s="59" t="s">
        <v>28</v>
      </c>
      <c r="E149" s="61" t="s">
        <v>419</v>
      </c>
      <c r="F149" s="61" t="s">
        <v>420</v>
      </c>
      <c r="G149" s="61" t="s">
        <v>21</v>
      </c>
      <c r="H149" s="73">
        <v>50</v>
      </c>
      <c r="J149" s="59">
        <v>6</v>
      </c>
      <c r="K149" s="59">
        <v>300</v>
      </c>
      <c r="L149" s="74" t="s">
        <v>31</v>
      </c>
      <c r="M149" s="74" t="s">
        <v>32</v>
      </c>
      <c r="N149" s="74" t="s">
        <v>23</v>
      </c>
      <c r="O149" s="74" t="s">
        <v>32</v>
      </c>
      <c r="P149" s="59" t="s">
        <v>23</v>
      </c>
    </row>
    <row r="150" s="59" customFormat="1" spans="1:16">
      <c r="A150" s="61" t="s">
        <v>421</v>
      </c>
      <c r="B150" s="61" t="s">
        <v>17</v>
      </c>
      <c r="D150" s="59" t="s">
        <v>28</v>
      </c>
      <c r="E150" s="61" t="s">
        <v>422</v>
      </c>
      <c r="F150" s="61" t="s">
        <v>423</v>
      </c>
      <c r="G150" s="61" t="s">
        <v>23</v>
      </c>
      <c r="H150" s="73">
        <v>16</v>
      </c>
      <c r="J150" s="59">
        <v>6.2</v>
      </c>
      <c r="K150" s="59">
        <v>99.2</v>
      </c>
      <c r="L150" s="59" t="s">
        <v>31</v>
      </c>
      <c r="M150" s="74" t="s">
        <v>32</v>
      </c>
      <c r="N150" s="74" t="s">
        <v>23</v>
      </c>
      <c r="O150" s="74" t="s">
        <v>32</v>
      </c>
      <c r="P150" s="59" t="s">
        <v>23</v>
      </c>
    </row>
    <row r="151" s="59" customFormat="1" spans="1:16">
      <c r="A151" s="61" t="s">
        <v>424</v>
      </c>
      <c r="B151" s="61" t="s">
        <v>17</v>
      </c>
      <c r="D151" s="59" t="s">
        <v>18</v>
      </c>
      <c r="E151" s="61" t="s">
        <v>425</v>
      </c>
      <c r="F151" s="61" t="s">
        <v>426</v>
      </c>
      <c r="G151" s="61" t="s">
        <v>21</v>
      </c>
      <c r="H151" s="73">
        <v>300</v>
      </c>
      <c r="J151" s="59">
        <v>10.545</v>
      </c>
      <c r="K151" s="59">
        <v>3163.5</v>
      </c>
      <c r="L151" s="74" t="s">
        <v>22</v>
      </c>
      <c r="P151" s="59" t="s">
        <v>23</v>
      </c>
    </row>
    <row r="152" s="59" customFormat="1" spans="1:16">
      <c r="A152" s="61" t="s">
        <v>427</v>
      </c>
      <c r="B152" s="61" t="s">
        <v>17</v>
      </c>
      <c r="D152" s="59" t="s">
        <v>18</v>
      </c>
      <c r="E152" s="61" t="s">
        <v>428</v>
      </c>
      <c r="F152" s="61" t="s">
        <v>429</v>
      </c>
      <c r="G152" s="61" t="s">
        <v>21</v>
      </c>
      <c r="H152" s="73">
        <v>300</v>
      </c>
      <c r="J152" s="59">
        <v>10.545</v>
      </c>
      <c r="K152" s="59">
        <v>3163.5</v>
      </c>
      <c r="L152" s="74" t="s">
        <v>22</v>
      </c>
      <c r="P152" s="59" t="s">
        <v>23</v>
      </c>
    </row>
    <row r="153" s="59" customFormat="1" spans="1:16">
      <c r="A153" s="61" t="s">
        <v>430</v>
      </c>
      <c r="B153" s="61" t="s">
        <v>17</v>
      </c>
      <c r="D153" s="59" t="s">
        <v>28</v>
      </c>
      <c r="E153" s="61" t="s">
        <v>431</v>
      </c>
      <c r="F153" s="61" t="s">
        <v>432</v>
      </c>
      <c r="G153" s="61" t="s">
        <v>23</v>
      </c>
      <c r="H153" s="73">
        <v>16</v>
      </c>
      <c r="J153" s="59">
        <v>7.825</v>
      </c>
      <c r="K153" s="59">
        <v>125.2</v>
      </c>
      <c r="L153" s="59" t="s">
        <v>31</v>
      </c>
      <c r="M153" s="74" t="s">
        <v>32</v>
      </c>
      <c r="N153" s="74" t="s">
        <v>23</v>
      </c>
      <c r="O153" s="74" t="s">
        <v>32</v>
      </c>
      <c r="P153" s="59" t="s">
        <v>23</v>
      </c>
    </row>
    <row r="154" s="59" customFormat="1" spans="1:16">
      <c r="A154" s="61" t="s">
        <v>433</v>
      </c>
      <c r="B154" s="61" t="s">
        <v>17</v>
      </c>
      <c r="D154" s="59" t="s">
        <v>28</v>
      </c>
      <c r="E154" s="61" t="s">
        <v>434</v>
      </c>
      <c r="F154" s="61" t="s">
        <v>435</v>
      </c>
      <c r="G154" s="61" t="s">
        <v>23</v>
      </c>
      <c r="H154" s="73">
        <v>16</v>
      </c>
      <c r="J154" s="59">
        <v>11.8</v>
      </c>
      <c r="K154" s="59">
        <v>188.8</v>
      </c>
      <c r="L154" s="74" t="s">
        <v>31</v>
      </c>
      <c r="M154" s="74" t="s">
        <v>32</v>
      </c>
      <c r="N154" s="74" t="s">
        <v>23</v>
      </c>
      <c r="O154" s="74" t="s">
        <v>32</v>
      </c>
      <c r="P154" s="59" t="s">
        <v>23</v>
      </c>
    </row>
    <row r="155" s="59" customFormat="1" spans="1:16">
      <c r="A155" s="61" t="s">
        <v>436</v>
      </c>
      <c r="B155" s="61" t="s">
        <v>17</v>
      </c>
      <c r="D155" s="59" t="s">
        <v>28</v>
      </c>
      <c r="E155" s="61" t="s">
        <v>437</v>
      </c>
      <c r="F155" s="61" t="s">
        <v>438</v>
      </c>
      <c r="G155" s="61" t="s">
        <v>21</v>
      </c>
      <c r="H155" s="73">
        <v>80</v>
      </c>
      <c r="J155" s="59">
        <v>19</v>
      </c>
      <c r="K155" s="59">
        <v>1520</v>
      </c>
      <c r="L155" s="59" t="s">
        <v>31</v>
      </c>
      <c r="M155" s="74" t="s">
        <v>32</v>
      </c>
      <c r="N155" s="74" t="s">
        <v>23</v>
      </c>
      <c r="O155" s="74" t="s">
        <v>32</v>
      </c>
      <c r="P155" s="59" t="s">
        <v>23</v>
      </c>
    </row>
    <row r="156" s="59" customFormat="1" spans="1:16">
      <c r="A156" s="61" t="s">
        <v>439</v>
      </c>
      <c r="B156" s="61" t="s">
        <v>17</v>
      </c>
      <c r="D156" s="59" t="s">
        <v>28</v>
      </c>
      <c r="E156" s="61" t="s">
        <v>110</v>
      </c>
      <c r="F156" s="61" t="s">
        <v>111</v>
      </c>
      <c r="G156" s="61" t="s">
        <v>21</v>
      </c>
      <c r="H156" s="73">
        <v>200</v>
      </c>
      <c r="J156" s="59">
        <v>16.15</v>
      </c>
      <c r="K156" s="59">
        <v>3230</v>
      </c>
      <c r="L156" s="74" t="s">
        <v>31</v>
      </c>
      <c r="M156" s="74" t="s">
        <v>32</v>
      </c>
      <c r="N156" s="74" t="s">
        <v>23</v>
      </c>
      <c r="O156" s="74" t="s">
        <v>32</v>
      </c>
      <c r="P156" s="59" t="s">
        <v>23</v>
      </c>
    </row>
    <row r="157" s="59" customFormat="1" spans="1:16">
      <c r="A157" s="61" t="s">
        <v>440</v>
      </c>
      <c r="B157" s="61" t="s">
        <v>17</v>
      </c>
      <c r="D157" s="59" t="s">
        <v>18</v>
      </c>
      <c r="E157" s="61" t="s">
        <v>73</v>
      </c>
      <c r="F157" s="61" t="s">
        <v>74</v>
      </c>
      <c r="G157" s="61" t="s">
        <v>21</v>
      </c>
      <c r="H157" s="73">
        <v>100</v>
      </c>
      <c r="J157" s="59">
        <v>24.6</v>
      </c>
      <c r="K157" s="59">
        <v>2460</v>
      </c>
      <c r="L157" s="74" t="s">
        <v>31</v>
      </c>
      <c r="M157" s="74" t="s">
        <v>75</v>
      </c>
      <c r="N157" s="74" t="s">
        <v>23</v>
      </c>
      <c r="O157" s="74" t="s">
        <v>75</v>
      </c>
      <c r="P157" s="59" t="s">
        <v>23</v>
      </c>
    </row>
    <row r="158" s="59" customFormat="1" spans="1:16">
      <c r="A158" s="61" t="s">
        <v>441</v>
      </c>
      <c r="B158" s="61" t="s">
        <v>17</v>
      </c>
      <c r="D158" s="59" t="s">
        <v>18</v>
      </c>
      <c r="E158" s="61" t="s">
        <v>442</v>
      </c>
      <c r="F158" s="61" t="s">
        <v>443</v>
      </c>
      <c r="G158" s="61" t="s">
        <v>21</v>
      </c>
      <c r="H158" s="73">
        <v>200</v>
      </c>
      <c r="J158" s="59">
        <v>44.866</v>
      </c>
      <c r="K158" s="59">
        <v>8973.2</v>
      </c>
      <c r="L158" s="74" t="s">
        <v>31</v>
      </c>
      <c r="M158" s="74" t="s">
        <v>125</v>
      </c>
      <c r="N158" s="74" t="s">
        <v>23</v>
      </c>
      <c r="O158" s="74" t="s">
        <v>125</v>
      </c>
      <c r="P158" s="59" t="s">
        <v>23</v>
      </c>
    </row>
    <row r="159" s="59" customFormat="1" spans="1:16">
      <c r="A159" s="61" t="s">
        <v>444</v>
      </c>
      <c r="B159" s="61" t="s">
        <v>17</v>
      </c>
      <c r="D159" s="59" t="s">
        <v>18</v>
      </c>
      <c r="E159" s="61" t="s">
        <v>73</v>
      </c>
      <c r="F159" s="61" t="s">
        <v>74</v>
      </c>
      <c r="G159" s="61" t="s">
        <v>21</v>
      </c>
      <c r="H159" s="73">
        <v>102</v>
      </c>
      <c r="J159" s="59">
        <v>24.6</v>
      </c>
      <c r="K159" s="59">
        <v>2509.2</v>
      </c>
      <c r="L159" s="74" t="s">
        <v>31</v>
      </c>
      <c r="M159" s="74" t="s">
        <v>75</v>
      </c>
      <c r="N159" s="74" t="s">
        <v>23</v>
      </c>
      <c r="O159" s="74" t="s">
        <v>75</v>
      </c>
      <c r="P159" s="59" t="s">
        <v>23</v>
      </c>
    </row>
    <row r="160" s="59" customFormat="1" spans="1:16">
      <c r="A160" s="61" t="s">
        <v>445</v>
      </c>
      <c r="B160" s="61" t="s">
        <v>17</v>
      </c>
      <c r="D160" s="59" t="s">
        <v>18</v>
      </c>
      <c r="E160" s="61" t="s">
        <v>446</v>
      </c>
      <c r="F160" s="61" t="s">
        <v>447</v>
      </c>
      <c r="G160" s="61" t="s">
        <v>21</v>
      </c>
      <c r="H160" s="73">
        <v>100</v>
      </c>
      <c r="J160" s="59">
        <v>31.906</v>
      </c>
      <c r="K160" s="59">
        <v>3190.6</v>
      </c>
      <c r="L160" s="74" t="s">
        <v>31</v>
      </c>
      <c r="M160" s="74" t="s">
        <v>125</v>
      </c>
      <c r="N160" s="74" t="s">
        <v>23</v>
      </c>
      <c r="O160" s="74" t="s">
        <v>125</v>
      </c>
      <c r="P160" s="59" t="s">
        <v>23</v>
      </c>
    </row>
    <row r="161" s="59" customFormat="1" spans="1:16">
      <c r="A161" s="61" t="s">
        <v>448</v>
      </c>
      <c r="B161" s="61" t="s">
        <v>17</v>
      </c>
      <c r="D161" s="59" t="s">
        <v>28</v>
      </c>
      <c r="E161" s="61" t="s">
        <v>449</v>
      </c>
      <c r="F161" s="61" t="s">
        <v>450</v>
      </c>
      <c r="G161" s="61" t="s">
        <v>23</v>
      </c>
      <c r="H161" s="73">
        <v>16</v>
      </c>
      <c r="J161" s="59">
        <v>15.2</v>
      </c>
      <c r="K161" s="59">
        <v>243.2</v>
      </c>
      <c r="L161" s="74" t="s">
        <v>31</v>
      </c>
      <c r="M161" s="74" t="s">
        <v>32</v>
      </c>
      <c r="N161" s="74" t="s">
        <v>23</v>
      </c>
      <c r="O161" s="74" t="s">
        <v>32</v>
      </c>
      <c r="P161" s="59" t="s">
        <v>23</v>
      </c>
    </row>
    <row r="162" s="59" customFormat="1" spans="1:16">
      <c r="A162" s="61" t="s">
        <v>451</v>
      </c>
      <c r="B162" s="61" t="s">
        <v>17</v>
      </c>
      <c r="D162" s="59" t="s">
        <v>18</v>
      </c>
      <c r="E162" s="61" t="s">
        <v>452</v>
      </c>
      <c r="F162" s="61" t="s">
        <v>453</v>
      </c>
      <c r="G162" s="61" t="s">
        <v>21</v>
      </c>
      <c r="H162" s="73">
        <v>400</v>
      </c>
      <c r="J162" s="59">
        <v>35.915</v>
      </c>
      <c r="K162" s="59">
        <v>14366</v>
      </c>
      <c r="L162" s="74" t="s">
        <v>31</v>
      </c>
      <c r="M162" s="74" t="s">
        <v>52</v>
      </c>
      <c r="N162" s="74" t="s">
        <v>23</v>
      </c>
      <c r="O162" s="74" t="s">
        <v>52</v>
      </c>
      <c r="P162" s="59" t="s">
        <v>23</v>
      </c>
    </row>
    <row r="163" s="59" customFormat="1" spans="1:16">
      <c r="A163" s="61" t="s">
        <v>454</v>
      </c>
      <c r="B163" s="61" t="s">
        <v>17</v>
      </c>
      <c r="D163" s="59" t="s">
        <v>18</v>
      </c>
      <c r="E163" s="61" t="s">
        <v>455</v>
      </c>
      <c r="F163" s="61" t="s">
        <v>456</v>
      </c>
      <c r="G163" s="61" t="s">
        <v>21</v>
      </c>
      <c r="H163" s="73">
        <v>400</v>
      </c>
      <c r="J163" s="59">
        <v>28.955</v>
      </c>
      <c r="K163" s="59">
        <v>11582</v>
      </c>
      <c r="L163" s="74" t="s">
        <v>31</v>
      </c>
      <c r="M163" s="74" t="s">
        <v>75</v>
      </c>
      <c r="N163" s="74" t="s">
        <v>23</v>
      </c>
      <c r="O163" s="74" t="s">
        <v>75</v>
      </c>
      <c r="P163" s="59" t="s">
        <v>23</v>
      </c>
    </row>
    <row r="164" s="59" customFormat="1" spans="1:16">
      <c r="A164" s="61" t="s">
        <v>457</v>
      </c>
      <c r="B164" s="61" t="s">
        <v>17</v>
      </c>
      <c r="D164" s="59" t="s">
        <v>18</v>
      </c>
      <c r="E164" s="61" t="s">
        <v>458</v>
      </c>
      <c r="F164" s="61" t="s">
        <v>459</v>
      </c>
      <c r="G164" s="61" t="s">
        <v>21</v>
      </c>
      <c r="H164" s="73">
        <v>300</v>
      </c>
      <c r="J164" s="59">
        <v>15.655</v>
      </c>
      <c r="K164" s="59">
        <v>4696.5</v>
      </c>
      <c r="L164" s="74" t="s">
        <v>31</v>
      </c>
      <c r="M164" s="74" t="s">
        <v>75</v>
      </c>
      <c r="N164" s="74" t="s">
        <v>23</v>
      </c>
      <c r="O164" s="74" t="s">
        <v>75</v>
      </c>
      <c r="P164" s="59" t="s">
        <v>23</v>
      </c>
    </row>
    <row r="165" s="59" customFormat="1" spans="1:16">
      <c r="A165" s="61" t="s">
        <v>460</v>
      </c>
      <c r="B165" s="61" t="s">
        <v>17</v>
      </c>
      <c r="D165" s="59" t="s">
        <v>18</v>
      </c>
      <c r="E165" s="61" t="s">
        <v>461</v>
      </c>
      <c r="F165" s="61" t="s">
        <v>462</v>
      </c>
      <c r="G165" s="61" t="s">
        <v>21</v>
      </c>
      <c r="H165" s="73">
        <v>300</v>
      </c>
      <c r="J165" s="59">
        <v>24.385</v>
      </c>
      <c r="K165" s="59">
        <v>7315.5</v>
      </c>
      <c r="L165" s="74" t="s">
        <v>31</v>
      </c>
      <c r="M165" s="74" t="s">
        <v>75</v>
      </c>
      <c r="N165" s="74" t="s">
        <v>23</v>
      </c>
      <c r="O165" s="74" t="s">
        <v>75</v>
      </c>
      <c r="P165" s="59" t="s">
        <v>23</v>
      </c>
    </row>
    <row r="166" s="59" customFormat="1" spans="1:16">
      <c r="A166" s="61" t="s">
        <v>463</v>
      </c>
      <c r="B166" s="61" t="s">
        <v>17</v>
      </c>
      <c r="D166" s="59" t="s">
        <v>28</v>
      </c>
      <c r="E166" s="61" t="s">
        <v>464</v>
      </c>
      <c r="F166" s="61" t="s">
        <v>465</v>
      </c>
      <c r="G166" s="61" t="s">
        <v>23</v>
      </c>
      <c r="H166" s="73">
        <v>80</v>
      </c>
      <c r="J166" s="59">
        <v>3</v>
      </c>
      <c r="K166" s="59">
        <v>240</v>
      </c>
      <c r="L166" s="59" t="s">
        <v>31</v>
      </c>
      <c r="M166" s="74" t="s">
        <v>32</v>
      </c>
      <c r="N166" s="74" t="s">
        <v>23</v>
      </c>
      <c r="O166" s="74" t="s">
        <v>32</v>
      </c>
      <c r="P166" s="59" t="s">
        <v>23</v>
      </c>
    </row>
    <row r="167" s="59" customFormat="1" spans="1:16">
      <c r="A167" s="61" t="s">
        <v>466</v>
      </c>
      <c r="B167" s="61" t="s">
        <v>17</v>
      </c>
      <c r="D167" s="59" t="s">
        <v>28</v>
      </c>
      <c r="E167" s="61" t="s">
        <v>467</v>
      </c>
      <c r="F167" s="61" t="s">
        <v>468</v>
      </c>
      <c r="G167" s="61" t="s">
        <v>23</v>
      </c>
      <c r="H167" s="73">
        <v>50</v>
      </c>
      <c r="J167" s="59">
        <v>3</v>
      </c>
      <c r="K167" s="59">
        <v>150</v>
      </c>
      <c r="L167" s="59" t="s">
        <v>31</v>
      </c>
      <c r="M167" s="74" t="s">
        <v>32</v>
      </c>
      <c r="N167" s="74" t="s">
        <v>23</v>
      </c>
      <c r="O167" s="74" t="s">
        <v>32</v>
      </c>
      <c r="P167" s="59" t="s">
        <v>23</v>
      </c>
    </row>
    <row r="168" s="59" customFormat="1" spans="1:16">
      <c r="A168" s="61" t="s">
        <v>469</v>
      </c>
      <c r="B168" s="61" t="s">
        <v>17</v>
      </c>
      <c r="D168" s="59" t="s">
        <v>28</v>
      </c>
      <c r="E168" s="61" t="s">
        <v>470</v>
      </c>
      <c r="F168" s="61" t="s">
        <v>471</v>
      </c>
      <c r="G168" s="61" t="s">
        <v>23</v>
      </c>
      <c r="H168" s="73">
        <v>16</v>
      </c>
      <c r="J168" s="59">
        <v>6.375</v>
      </c>
      <c r="K168" s="59">
        <v>102</v>
      </c>
      <c r="L168" s="59" t="s">
        <v>31</v>
      </c>
      <c r="M168" s="74" t="s">
        <v>32</v>
      </c>
      <c r="N168" s="74" t="s">
        <v>23</v>
      </c>
      <c r="O168" s="74" t="s">
        <v>32</v>
      </c>
      <c r="P168" s="59" t="s">
        <v>23</v>
      </c>
    </row>
    <row r="169" s="59" customFormat="1" spans="1:16">
      <c r="A169" s="61" t="s">
        <v>472</v>
      </c>
      <c r="B169" s="61" t="s">
        <v>17</v>
      </c>
      <c r="D169" s="59" t="s">
        <v>28</v>
      </c>
      <c r="E169" s="61" t="s">
        <v>473</v>
      </c>
      <c r="F169" s="61" t="s">
        <v>474</v>
      </c>
      <c r="G169" s="61" t="s">
        <v>23</v>
      </c>
      <c r="H169" s="73">
        <v>16</v>
      </c>
      <c r="J169" s="59">
        <v>5.9125</v>
      </c>
      <c r="K169" s="59">
        <v>94.6</v>
      </c>
      <c r="L169" s="59" t="s">
        <v>31</v>
      </c>
      <c r="M169" s="74" t="s">
        <v>32</v>
      </c>
      <c r="N169" s="74" t="s">
        <v>23</v>
      </c>
      <c r="O169" s="74" t="s">
        <v>32</v>
      </c>
      <c r="P169" s="59" t="s">
        <v>23</v>
      </c>
    </row>
    <row r="170" s="59" customFormat="1" spans="1:16">
      <c r="A170" s="61" t="s">
        <v>475</v>
      </c>
      <c r="B170" s="61" t="s">
        <v>17</v>
      </c>
      <c r="D170" s="59" t="s">
        <v>18</v>
      </c>
      <c r="E170" s="61" t="s">
        <v>94</v>
      </c>
      <c r="F170" s="61" t="s">
        <v>95</v>
      </c>
      <c r="G170" s="61" t="s">
        <v>21</v>
      </c>
      <c r="H170" s="73">
        <v>10</v>
      </c>
      <c r="J170" s="59">
        <v>25.692</v>
      </c>
      <c r="K170" s="59">
        <v>256.92</v>
      </c>
      <c r="L170" s="74" t="s">
        <v>31</v>
      </c>
      <c r="M170" s="74" t="s">
        <v>52</v>
      </c>
      <c r="N170" s="74" t="s">
        <v>23</v>
      </c>
      <c r="O170" s="74" t="s">
        <v>52</v>
      </c>
      <c r="P170" s="59" t="s">
        <v>23</v>
      </c>
    </row>
    <row r="171" s="59" customFormat="1" spans="1:16">
      <c r="A171" s="61" t="s">
        <v>476</v>
      </c>
      <c r="B171" s="61" t="s">
        <v>17</v>
      </c>
      <c r="D171" s="59" t="s">
        <v>28</v>
      </c>
      <c r="E171" s="61" t="s">
        <v>261</v>
      </c>
      <c r="F171" s="61" t="s">
        <v>262</v>
      </c>
      <c r="G171" s="61" t="s">
        <v>23</v>
      </c>
      <c r="H171" s="73">
        <v>1500</v>
      </c>
      <c r="J171" s="59">
        <v>6.5</v>
      </c>
      <c r="K171" s="59">
        <v>9750</v>
      </c>
      <c r="L171" s="74" t="s">
        <v>31</v>
      </c>
      <c r="M171" s="74" t="s">
        <v>32</v>
      </c>
      <c r="N171" s="74" t="s">
        <v>23</v>
      </c>
      <c r="O171" s="74" t="s">
        <v>32</v>
      </c>
      <c r="P171" s="59" t="s">
        <v>23</v>
      </c>
    </row>
    <row r="172" s="59" customFormat="1" spans="1:16">
      <c r="A172" s="61" t="s">
        <v>477</v>
      </c>
      <c r="B172" s="61" t="s">
        <v>17</v>
      </c>
      <c r="D172" s="59" t="s">
        <v>18</v>
      </c>
      <c r="E172" s="61" t="s">
        <v>478</v>
      </c>
      <c r="F172" s="61" t="s">
        <v>479</v>
      </c>
      <c r="G172" s="61" t="s">
        <v>21</v>
      </c>
      <c r="H172" s="73">
        <v>300</v>
      </c>
      <c r="J172" s="59">
        <v>17.5</v>
      </c>
      <c r="K172" s="59">
        <v>5250</v>
      </c>
      <c r="L172" s="74" t="s">
        <v>31</v>
      </c>
      <c r="M172" s="74" t="s">
        <v>125</v>
      </c>
      <c r="N172" s="74" t="s">
        <v>23</v>
      </c>
      <c r="O172" s="74" t="s">
        <v>125</v>
      </c>
      <c r="P172" s="59" t="s">
        <v>23</v>
      </c>
    </row>
    <row r="173" s="59" customFormat="1" spans="1:16">
      <c r="A173" s="61" t="s">
        <v>480</v>
      </c>
      <c r="B173" s="61" t="s">
        <v>17</v>
      </c>
      <c r="D173" s="59" t="s">
        <v>18</v>
      </c>
      <c r="E173" s="61" t="s">
        <v>481</v>
      </c>
      <c r="F173" s="61" t="s">
        <v>482</v>
      </c>
      <c r="G173" s="61" t="s">
        <v>21</v>
      </c>
      <c r="H173" s="73">
        <v>500</v>
      </c>
      <c r="J173" s="59">
        <v>15.595</v>
      </c>
      <c r="K173" s="59">
        <v>7797.5</v>
      </c>
      <c r="L173" s="74" t="s">
        <v>31</v>
      </c>
      <c r="M173" s="74" t="s">
        <v>75</v>
      </c>
      <c r="N173" s="74" t="s">
        <v>23</v>
      </c>
      <c r="O173" s="74" t="s">
        <v>75</v>
      </c>
      <c r="P173" s="59" t="s">
        <v>23</v>
      </c>
    </row>
    <row r="174" s="59" customFormat="1" spans="1:16">
      <c r="A174" s="61" t="s">
        <v>483</v>
      </c>
      <c r="B174" s="61" t="s">
        <v>17</v>
      </c>
      <c r="D174" s="59" t="s">
        <v>28</v>
      </c>
      <c r="E174" s="61" t="s">
        <v>484</v>
      </c>
      <c r="F174" s="61" t="s">
        <v>485</v>
      </c>
      <c r="G174" s="61" t="s">
        <v>21</v>
      </c>
      <c r="H174" s="73">
        <v>30</v>
      </c>
      <c r="J174" s="59">
        <v>29</v>
      </c>
      <c r="K174" s="59">
        <v>870</v>
      </c>
      <c r="L174" s="59" t="s">
        <v>31</v>
      </c>
      <c r="M174" s="74" t="s">
        <v>32</v>
      </c>
      <c r="N174" s="74" t="s">
        <v>23</v>
      </c>
      <c r="O174" s="74" t="s">
        <v>32</v>
      </c>
      <c r="P174" s="59" t="s">
        <v>23</v>
      </c>
    </row>
    <row r="175" s="59" customFormat="1" spans="1:16">
      <c r="A175" s="61" t="s">
        <v>486</v>
      </c>
      <c r="B175" s="61" t="s">
        <v>17</v>
      </c>
      <c r="D175" s="59" t="s">
        <v>18</v>
      </c>
      <c r="E175" s="61" t="s">
        <v>484</v>
      </c>
      <c r="F175" s="61" t="s">
        <v>485</v>
      </c>
      <c r="G175" s="61" t="s">
        <v>21</v>
      </c>
      <c r="H175" s="73">
        <v>300</v>
      </c>
      <c r="J175" s="59">
        <v>29</v>
      </c>
      <c r="K175" s="59">
        <v>8700</v>
      </c>
      <c r="L175" s="74" t="s">
        <v>22</v>
      </c>
      <c r="P175" s="59" t="s">
        <v>23</v>
      </c>
    </row>
    <row r="176" s="59" customFormat="1" spans="1:16">
      <c r="A176" s="61" t="s">
        <v>487</v>
      </c>
      <c r="B176" s="61" t="s">
        <v>17</v>
      </c>
      <c r="D176" s="59" t="s">
        <v>28</v>
      </c>
      <c r="E176" s="61" t="s">
        <v>488</v>
      </c>
      <c r="F176" s="61" t="s">
        <v>489</v>
      </c>
      <c r="G176" s="61" t="s">
        <v>23</v>
      </c>
      <c r="H176" s="73">
        <v>16</v>
      </c>
      <c r="J176" s="59">
        <v>6.4</v>
      </c>
      <c r="K176" s="59">
        <v>102.4</v>
      </c>
      <c r="L176" s="59" t="s">
        <v>31</v>
      </c>
      <c r="M176" s="74" t="s">
        <v>32</v>
      </c>
      <c r="N176" s="74" t="s">
        <v>23</v>
      </c>
      <c r="O176" s="74" t="s">
        <v>32</v>
      </c>
      <c r="P176" s="59" t="s">
        <v>23</v>
      </c>
    </row>
    <row r="177" s="59" customFormat="1" spans="1:16">
      <c r="A177" s="61" t="s">
        <v>490</v>
      </c>
      <c r="B177" s="61" t="s">
        <v>17</v>
      </c>
      <c r="D177" s="59" t="s">
        <v>28</v>
      </c>
      <c r="E177" s="61" t="s">
        <v>491</v>
      </c>
      <c r="F177" s="61" t="s">
        <v>492</v>
      </c>
      <c r="G177" s="61" t="s">
        <v>23</v>
      </c>
      <c r="H177" s="73">
        <v>16</v>
      </c>
      <c r="J177" s="59">
        <v>13.05</v>
      </c>
      <c r="K177" s="59">
        <v>208.8</v>
      </c>
      <c r="L177" s="59" t="s">
        <v>31</v>
      </c>
      <c r="M177" s="74" t="s">
        <v>32</v>
      </c>
      <c r="N177" s="74" t="s">
        <v>23</v>
      </c>
      <c r="O177" s="74" t="s">
        <v>32</v>
      </c>
      <c r="P177" s="59" t="s">
        <v>23</v>
      </c>
    </row>
    <row r="178" s="59" customFormat="1" spans="1:16">
      <c r="A178" s="61" t="s">
        <v>493</v>
      </c>
      <c r="B178" s="61" t="s">
        <v>49</v>
      </c>
      <c r="D178" s="59" t="s">
        <v>28</v>
      </c>
      <c r="E178" s="61" t="s">
        <v>117</v>
      </c>
      <c r="F178" s="61" t="s">
        <v>118</v>
      </c>
      <c r="G178" s="61" t="s">
        <v>21</v>
      </c>
      <c r="H178" s="73">
        <v>200</v>
      </c>
      <c r="J178" s="59">
        <v>17.6261</v>
      </c>
      <c r="K178" s="59">
        <v>3525.22</v>
      </c>
      <c r="L178" s="74" t="s">
        <v>31</v>
      </c>
      <c r="M178" s="74" t="s">
        <v>32</v>
      </c>
      <c r="N178" s="74" t="s">
        <v>23</v>
      </c>
      <c r="O178" s="74" t="s">
        <v>32</v>
      </c>
      <c r="P178" s="59" t="s">
        <v>23</v>
      </c>
    </row>
    <row r="179" s="59" customFormat="1" spans="1:16">
      <c r="A179" s="61" t="s">
        <v>494</v>
      </c>
      <c r="B179" s="61" t="s">
        <v>17</v>
      </c>
      <c r="D179" s="59" t="s">
        <v>28</v>
      </c>
      <c r="E179" s="61" t="s">
        <v>495</v>
      </c>
      <c r="F179" s="61" t="s">
        <v>496</v>
      </c>
      <c r="G179" s="61" t="s">
        <v>21</v>
      </c>
      <c r="H179" s="73">
        <v>100</v>
      </c>
      <c r="J179" s="59">
        <v>16.085</v>
      </c>
      <c r="K179" s="59">
        <v>1608.5</v>
      </c>
      <c r="L179" s="74" t="s">
        <v>31</v>
      </c>
      <c r="M179" s="74" t="s">
        <v>32</v>
      </c>
      <c r="N179" s="74" t="s">
        <v>23</v>
      </c>
      <c r="O179" s="74" t="s">
        <v>32</v>
      </c>
      <c r="P179" s="59" t="s">
        <v>23</v>
      </c>
    </row>
    <row r="180" s="59" customFormat="1" spans="1:16">
      <c r="A180" s="61" t="s">
        <v>497</v>
      </c>
      <c r="B180" s="61" t="s">
        <v>17</v>
      </c>
      <c r="D180" s="59" t="s">
        <v>18</v>
      </c>
      <c r="E180" s="61" t="s">
        <v>110</v>
      </c>
      <c r="F180" s="61" t="s">
        <v>111</v>
      </c>
      <c r="G180" s="61" t="s">
        <v>21</v>
      </c>
      <c r="H180" s="73">
        <v>150</v>
      </c>
      <c r="J180" s="59">
        <v>16.15</v>
      </c>
      <c r="K180" s="59">
        <v>2422.5</v>
      </c>
      <c r="L180" s="74" t="s">
        <v>31</v>
      </c>
      <c r="M180" s="74" t="s">
        <v>75</v>
      </c>
      <c r="N180" s="74" t="s">
        <v>23</v>
      </c>
      <c r="O180" s="74" t="s">
        <v>75</v>
      </c>
      <c r="P180" s="59" t="s">
        <v>23</v>
      </c>
    </row>
    <row r="181" s="59" customFormat="1" spans="1:16">
      <c r="A181" s="61" t="s">
        <v>498</v>
      </c>
      <c r="B181" s="61" t="s">
        <v>17</v>
      </c>
      <c r="D181" s="59" t="s">
        <v>28</v>
      </c>
      <c r="E181" s="61" t="s">
        <v>29</v>
      </c>
      <c r="F181" s="61" t="s">
        <v>30</v>
      </c>
      <c r="G181" s="61" t="s">
        <v>23</v>
      </c>
      <c r="H181" s="73">
        <v>100</v>
      </c>
      <c r="J181" s="59">
        <v>17</v>
      </c>
      <c r="K181" s="59">
        <v>1700</v>
      </c>
      <c r="L181" s="59" t="s">
        <v>31</v>
      </c>
      <c r="M181" s="74" t="s">
        <v>32</v>
      </c>
      <c r="N181" s="74" t="s">
        <v>23</v>
      </c>
      <c r="O181" s="74" t="s">
        <v>32</v>
      </c>
      <c r="P181" s="59" t="s">
        <v>23</v>
      </c>
    </row>
    <row r="182" s="59" customFormat="1" spans="1:16">
      <c r="A182" s="61" t="s">
        <v>499</v>
      </c>
      <c r="B182" s="61" t="s">
        <v>17</v>
      </c>
      <c r="D182" s="59" t="s">
        <v>28</v>
      </c>
      <c r="E182" s="61" t="s">
        <v>500</v>
      </c>
      <c r="F182" s="61" t="s">
        <v>501</v>
      </c>
      <c r="G182" s="61" t="s">
        <v>23</v>
      </c>
      <c r="H182" s="73">
        <v>80</v>
      </c>
      <c r="J182" s="59">
        <v>8.6</v>
      </c>
      <c r="K182" s="59">
        <v>688</v>
      </c>
      <c r="L182" s="74" t="s">
        <v>31</v>
      </c>
      <c r="M182" s="74" t="s">
        <v>32</v>
      </c>
      <c r="N182" s="74" t="s">
        <v>23</v>
      </c>
      <c r="O182" s="74" t="s">
        <v>32</v>
      </c>
      <c r="P182" s="59" t="s">
        <v>23</v>
      </c>
    </row>
    <row r="183" s="59" customFormat="1" spans="1:16">
      <c r="A183" s="61" t="s">
        <v>502</v>
      </c>
      <c r="B183" s="61" t="s">
        <v>17</v>
      </c>
      <c r="D183" s="59" t="s">
        <v>18</v>
      </c>
      <c r="E183" s="61" t="s">
        <v>503</v>
      </c>
      <c r="F183" s="61" t="s">
        <v>504</v>
      </c>
      <c r="G183" s="61" t="s">
        <v>21</v>
      </c>
      <c r="H183" s="73">
        <v>500</v>
      </c>
      <c r="J183" s="59">
        <v>13.045</v>
      </c>
      <c r="K183" s="59">
        <v>6522.5</v>
      </c>
      <c r="L183" s="74" t="s">
        <v>31</v>
      </c>
      <c r="M183" s="74" t="s">
        <v>75</v>
      </c>
      <c r="N183" s="74" t="s">
        <v>23</v>
      </c>
      <c r="O183" s="74" t="s">
        <v>75</v>
      </c>
      <c r="P183" s="59" t="s">
        <v>23</v>
      </c>
    </row>
    <row r="184" s="59" customFormat="1" spans="1:16">
      <c r="A184" s="61" t="s">
        <v>505</v>
      </c>
      <c r="B184" s="61" t="s">
        <v>17</v>
      </c>
      <c r="D184" s="59" t="s">
        <v>28</v>
      </c>
      <c r="E184" s="61" t="s">
        <v>506</v>
      </c>
      <c r="F184" s="61" t="s">
        <v>507</v>
      </c>
      <c r="G184" s="61" t="s">
        <v>23</v>
      </c>
      <c r="H184" s="73">
        <v>16</v>
      </c>
      <c r="J184" s="59">
        <v>4.1208</v>
      </c>
      <c r="K184" s="59">
        <v>65.9328</v>
      </c>
      <c r="L184" s="59" t="s">
        <v>31</v>
      </c>
      <c r="M184" s="74" t="s">
        <v>32</v>
      </c>
      <c r="N184" s="74" t="s">
        <v>23</v>
      </c>
      <c r="O184" s="74" t="s">
        <v>32</v>
      </c>
      <c r="P184" s="59" t="s">
        <v>23</v>
      </c>
    </row>
    <row r="185" s="59" customFormat="1" spans="1:16">
      <c r="A185" s="61" t="s">
        <v>508</v>
      </c>
      <c r="B185" s="61" t="s">
        <v>17</v>
      </c>
      <c r="D185" s="59" t="s">
        <v>28</v>
      </c>
      <c r="E185" s="61" t="s">
        <v>509</v>
      </c>
      <c r="F185" s="61" t="s">
        <v>510</v>
      </c>
      <c r="G185" s="61" t="s">
        <v>23</v>
      </c>
      <c r="H185" s="73">
        <v>16</v>
      </c>
      <c r="J185" s="59">
        <v>4.1208</v>
      </c>
      <c r="K185" s="59">
        <v>65.9328</v>
      </c>
      <c r="L185" s="59" t="s">
        <v>31</v>
      </c>
      <c r="M185" s="74" t="s">
        <v>32</v>
      </c>
      <c r="N185" s="74" t="s">
        <v>23</v>
      </c>
      <c r="O185" s="74" t="s">
        <v>32</v>
      </c>
      <c r="P185" s="59" t="s">
        <v>23</v>
      </c>
    </row>
    <row r="186" s="59" customFormat="1" spans="1:16">
      <c r="A186" s="61" t="s">
        <v>511</v>
      </c>
      <c r="B186" s="61" t="s">
        <v>17</v>
      </c>
      <c r="D186" s="59" t="s">
        <v>28</v>
      </c>
      <c r="E186" s="61" t="s">
        <v>512</v>
      </c>
      <c r="F186" s="61" t="s">
        <v>513</v>
      </c>
      <c r="G186" s="61" t="s">
        <v>23</v>
      </c>
      <c r="H186" s="73">
        <v>16</v>
      </c>
      <c r="J186" s="59">
        <v>4.1208</v>
      </c>
      <c r="K186" s="59">
        <v>65.9328</v>
      </c>
      <c r="L186" s="59" t="s">
        <v>31</v>
      </c>
      <c r="M186" s="74" t="s">
        <v>32</v>
      </c>
      <c r="N186" s="74" t="s">
        <v>23</v>
      </c>
      <c r="O186" s="74" t="s">
        <v>32</v>
      </c>
      <c r="P186" s="59" t="s">
        <v>23</v>
      </c>
    </row>
    <row r="187" s="59" customFormat="1" spans="1:16">
      <c r="A187" s="61" t="s">
        <v>514</v>
      </c>
      <c r="B187" s="61" t="s">
        <v>17</v>
      </c>
      <c r="D187" s="59" t="s">
        <v>28</v>
      </c>
      <c r="E187" s="61" t="s">
        <v>515</v>
      </c>
      <c r="F187" s="61" t="s">
        <v>516</v>
      </c>
      <c r="G187" s="61" t="s">
        <v>23</v>
      </c>
      <c r="H187" s="73">
        <v>16</v>
      </c>
      <c r="J187" s="59">
        <v>4.1208</v>
      </c>
      <c r="K187" s="59">
        <v>65.9328</v>
      </c>
      <c r="L187" s="59" t="s">
        <v>31</v>
      </c>
      <c r="M187" s="74" t="s">
        <v>32</v>
      </c>
      <c r="N187" s="74" t="s">
        <v>23</v>
      </c>
      <c r="O187" s="74" t="s">
        <v>32</v>
      </c>
      <c r="P187" s="59" t="s">
        <v>23</v>
      </c>
    </row>
    <row r="188" s="59" customFormat="1" spans="1:16">
      <c r="A188" s="61" t="s">
        <v>517</v>
      </c>
      <c r="B188" s="61" t="s">
        <v>17</v>
      </c>
      <c r="D188" s="59" t="s">
        <v>28</v>
      </c>
      <c r="E188" s="61" t="s">
        <v>518</v>
      </c>
      <c r="F188" s="61" t="s">
        <v>519</v>
      </c>
      <c r="G188" s="61" t="s">
        <v>23</v>
      </c>
      <c r="H188" s="73">
        <v>16</v>
      </c>
      <c r="J188" s="59">
        <v>4.1208</v>
      </c>
      <c r="K188" s="59">
        <v>65.9328</v>
      </c>
      <c r="L188" s="59" t="s">
        <v>31</v>
      </c>
      <c r="M188" s="74" t="s">
        <v>32</v>
      </c>
      <c r="N188" s="74" t="s">
        <v>23</v>
      </c>
      <c r="O188" s="74" t="s">
        <v>32</v>
      </c>
      <c r="P188" s="59" t="s">
        <v>23</v>
      </c>
    </row>
    <row r="189" s="59" customFormat="1" spans="1:16">
      <c r="A189" s="61" t="s">
        <v>520</v>
      </c>
      <c r="B189" s="61" t="s">
        <v>17</v>
      </c>
      <c r="D189" s="59" t="s">
        <v>28</v>
      </c>
      <c r="E189" s="61" t="s">
        <v>521</v>
      </c>
      <c r="F189" s="61" t="s">
        <v>522</v>
      </c>
      <c r="G189" s="61" t="s">
        <v>23</v>
      </c>
      <c r="H189" s="73">
        <v>16</v>
      </c>
      <c r="J189" s="59">
        <v>4.1208</v>
      </c>
      <c r="K189" s="59">
        <v>65.9328</v>
      </c>
      <c r="L189" s="59" t="s">
        <v>31</v>
      </c>
      <c r="M189" s="74" t="s">
        <v>32</v>
      </c>
      <c r="N189" s="74" t="s">
        <v>23</v>
      </c>
      <c r="O189" s="74" t="s">
        <v>32</v>
      </c>
      <c r="P189" s="59" t="s">
        <v>23</v>
      </c>
    </row>
    <row r="190" s="59" customFormat="1" spans="1:16">
      <c r="A190" s="61" t="s">
        <v>523</v>
      </c>
      <c r="B190" s="61" t="s">
        <v>17</v>
      </c>
      <c r="D190" s="59" t="s">
        <v>18</v>
      </c>
      <c r="E190" s="61" t="s">
        <v>503</v>
      </c>
      <c r="F190" s="61" t="s">
        <v>504</v>
      </c>
      <c r="G190" s="61" t="s">
        <v>21</v>
      </c>
      <c r="H190" s="73">
        <v>15</v>
      </c>
      <c r="J190" s="59">
        <v>13.045</v>
      </c>
      <c r="K190" s="59">
        <v>195.675</v>
      </c>
      <c r="L190" s="74" t="s">
        <v>31</v>
      </c>
      <c r="M190" s="74" t="s">
        <v>75</v>
      </c>
      <c r="N190" s="74" t="s">
        <v>23</v>
      </c>
      <c r="O190" s="74" t="s">
        <v>75</v>
      </c>
      <c r="P190" s="59" t="s">
        <v>23</v>
      </c>
    </row>
    <row r="191" s="59" customFormat="1" spans="1:16">
      <c r="A191" s="61" t="s">
        <v>524</v>
      </c>
      <c r="B191" s="61" t="s">
        <v>17</v>
      </c>
      <c r="D191" s="59" t="s">
        <v>28</v>
      </c>
      <c r="E191" s="61" t="s">
        <v>525</v>
      </c>
      <c r="F191" s="61" t="s">
        <v>526</v>
      </c>
      <c r="G191" s="61" t="s">
        <v>21</v>
      </c>
      <c r="H191" s="73">
        <v>50</v>
      </c>
      <c r="J191" s="59">
        <v>18.3</v>
      </c>
      <c r="K191" s="59">
        <v>915</v>
      </c>
      <c r="L191" s="74" t="s">
        <v>31</v>
      </c>
      <c r="M191" s="74" t="s">
        <v>32</v>
      </c>
      <c r="N191" s="74" t="s">
        <v>23</v>
      </c>
      <c r="O191" s="74" t="s">
        <v>32</v>
      </c>
      <c r="P191" s="59" t="s">
        <v>23</v>
      </c>
    </row>
    <row r="192" s="59" customFormat="1" spans="1:16">
      <c r="A192" s="61" t="s">
        <v>527</v>
      </c>
      <c r="B192" s="61" t="s">
        <v>17</v>
      </c>
      <c r="D192" s="59" t="s">
        <v>18</v>
      </c>
      <c r="E192" s="61" t="s">
        <v>525</v>
      </c>
      <c r="F192" s="61" t="s">
        <v>526</v>
      </c>
      <c r="G192" s="61" t="s">
        <v>21</v>
      </c>
      <c r="H192" s="73">
        <v>300</v>
      </c>
      <c r="J192" s="59">
        <v>18.3</v>
      </c>
      <c r="K192" s="59">
        <v>5490</v>
      </c>
      <c r="L192" s="74" t="s">
        <v>31</v>
      </c>
      <c r="M192" s="74" t="s">
        <v>75</v>
      </c>
      <c r="N192" s="74" t="s">
        <v>23</v>
      </c>
      <c r="O192" s="74" t="s">
        <v>75</v>
      </c>
      <c r="P192" s="59" t="s">
        <v>23</v>
      </c>
    </row>
    <row r="193" s="59" customFormat="1" spans="1:16">
      <c r="A193" s="61" t="s">
        <v>528</v>
      </c>
      <c r="B193" s="61" t="s">
        <v>17</v>
      </c>
      <c r="D193" s="59" t="s">
        <v>18</v>
      </c>
      <c r="E193" s="61" t="s">
        <v>94</v>
      </c>
      <c r="F193" s="61" t="s">
        <v>95</v>
      </c>
      <c r="G193" s="61" t="s">
        <v>21</v>
      </c>
      <c r="H193" s="73">
        <v>240</v>
      </c>
      <c r="J193" s="59">
        <v>25.692</v>
      </c>
      <c r="K193" s="59">
        <v>6166.08</v>
      </c>
      <c r="L193" s="74" t="s">
        <v>31</v>
      </c>
      <c r="M193" s="74" t="s">
        <v>52</v>
      </c>
      <c r="N193" s="74" t="s">
        <v>23</v>
      </c>
      <c r="O193" s="74" t="s">
        <v>52</v>
      </c>
      <c r="P193" s="59" t="s">
        <v>23</v>
      </c>
    </row>
    <row r="194" s="59" customFormat="1" spans="1:16">
      <c r="A194" s="61" t="s">
        <v>529</v>
      </c>
      <c r="B194" s="61" t="s">
        <v>17</v>
      </c>
      <c r="D194" s="59" t="s">
        <v>28</v>
      </c>
      <c r="E194" s="61" t="s">
        <v>530</v>
      </c>
      <c r="F194" s="61" t="s">
        <v>531</v>
      </c>
      <c r="G194" s="61" t="s">
        <v>21</v>
      </c>
      <c r="H194" s="73">
        <v>30</v>
      </c>
      <c r="J194" s="59">
        <v>24.5</v>
      </c>
      <c r="K194" s="59">
        <v>735</v>
      </c>
      <c r="L194" s="74" t="s">
        <v>31</v>
      </c>
      <c r="M194" s="74" t="s">
        <v>32</v>
      </c>
      <c r="N194" s="74" t="s">
        <v>23</v>
      </c>
      <c r="O194" s="74" t="s">
        <v>32</v>
      </c>
      <c r="P194" s="59" t="s">
        <v>23</v>
      </c>
    </row>
    <row r="195" s="59" customFormat="1" spans="1:16">
      <c r="A195" s="61" t="s">
        <v>532</v>
      </c>
      <c r="B195" s="61" t="s">
        <v>17</v>
      </c>
      <c r="D195" s="59" t="s">
        <v>18</v>
      </c>
      <c r="E195" s="61" t="s">
        <v>533</v>
      </c>
      <c r="F195" s="61" t="s">
        <v>534</v>
      </c>
      <c r="G195" s="61" t="s">
        <v>21</v>
      </c>
      <c r="H195" s="73">
        <v>2000</v>
      </c>
      <c r="J195" s="59">
        <v>17.9411</v>
      </c>
      <c r="K195" s="59">
        <v>35882.2</v>
      </c>
      <c r="L195" s="59" t="s">
        <v>31</v>
      </c>
      <c r="M195" s="74" t="s">
        <v>52</v>
      </c>
      <c r="N195" s="59" t="s">
        <v>23</v>
      </c>
      <c r="O195" s="74" t="s">
        <v>52</v>
      </c>
      <c r="P195" s="59" t="s">
        <v>23</v>
      </c>
    </row>
    <row r="196" s="59" customFormat="1" spans="1:16">
      <c r="A196" s="61" t="s">
        <v>535</v>
      </c>
      <c r="B196" s="61" t="s">
        <v>17</v>
      </c>
      <c r="D196" s="59" t="s">
        <v>18</v>
      </c>
      <c r="E196" s="61" t="s">
        <v>536</v>
      </c>
      <c r="F196" s="61" t="s">
        <v>537</v>
      </c>
      <c r="G196" s="61" t="s">
        <v>21</v>
      </c>
      <c r="H196" s="73">
        <v>200</v>
      </c>
      <c r="J196" s="59">
        <v>23.355</v>
      </c>
      <c r="K196" s="59">
        <v>4671</v>
      </c>
      <c r="L196" s="74" t="s">
        <v>31</v>
      </c>
      <c r="M196" s="74" t="s">
        <v>75</v>
      </c>
      <c r="N196" s="74" t="s">
        <v>23</v>
      </c>
      <c r="O196" s="74" t="s">
        <v>75</v>
      </c>
      <c r="P196" s="59" t="s">
        <v>23</v>
      </c>
    </row>
    <row r="197" s="59" customFormat="1" spans="1:16">
      <c r="A197" s="61" t="s">
        <v>538</v>
      </c>
      <c r="B197" s="61" t="s">
        <v>17</v>
      </c>
      <c r="D197" s="59" t="s">
        <v>18</v>
      </c>
      <c r="E197" s="61" t="s">
        <v>539</v>
      </c>
      <c r="F197" s="61" t="s">
        <v>540</v>
      </c>
      <c r="G197" s="61" t="s">
        <v>21</v>
      </c>
      <c r="H197" s="73">
        <v>300</v>
      </c>
      <c r="J197" s="59">
        <v>22.555</v>
      </c>
      <c r="K197" s="59">
        <v>6766.5</v>
      </c>
      <c r="L197" s="74" t="s">
        <v>31</v>
      </c>
      <c r="M197" s="74" t="s">
        <v>75</v>
      </c>
      <c r="N197" s="74" t="s">
        <v>23</v>
      </c>
      <c r="O197" s="74" t="s">
        <v>75</v>
      </c>
      <c r="P197" s="59" t="s">
        <v>23</v>
      </c>
    </row>
    <row r="198" s="59" customFormat="1" spans="1:16">
      <c r="A198" s="61" t="s">
        <v>541</v>
      </c>
      <c r="B198" s="61" t="s">
        <v>17</v>
      </c>
      <c r="D198" s="59" t="s">
        <v>18</v>
      </c>
      <c r="E198" s="61" t="s">
        <v>267</v>
      </c>
      <c r="F198" s="61" t="s">
        <v>268</v>
      </c>
      <c r="G198" s="61" t="s">
        <v>21</v>
      </c>
      <c r="H198" s="73">
        <v>300</v>
      </c>
      <c r="J198" s="59">
        <v>16.95</v>
      </c>
      <c r="K198" s="59">
        <v>5085</v>
      </c>
      <c r="L198" s="74" t="s">
        <v>31</v>
      </c>
      <c r="M198" s="74" t="s">
        <v>52</v>
      </c>
      <c r="N198" s="74" t="s">
        <v>23</v>
      </c>
      <c r="O198" s="74" t="s">
        <v>52</v>
      </c>
      <c r="P198" s="59" t="s">
        <v>23</v>
      </c>
    </row>
    <row r="199" s="59" customFormat="1" spans="1:16">
      <c r="A199" s="61" t="s">
        <v>542</v>
      </c>
      <c r="B199" s="61" t="s">
        <v>17</v>
      </c>
      <c r="D199" s="59" t="s">
        <v>18</v>
      </c>
      <c r="E199" s="61" t="s">
        <v>336</v>
      </c>
      <c r="F199" s="61" t="s">
        <v>337</v>
      </c>
      <c r="G199" s="61" t="s">
        <v>23</v>
      </c>
      <c r="H199" s="73">
        <v>300</v>
      </c>
      <c r="J199" s="59">
        <v>10.3</v>
      </c>
      <c r="K199" s="59">
        <v>3090</v>
      </c>
      <c r="L199" s="74" t="s">
        <v>22</v>
      </c>
      <c r="P199" s="59" t="s">
        <v>23</v>
      </c>
    </row>
    <row r="200" s="59" customFormat="1" spans="1:16">
      <c r="A200" s="61" t="s">
        <v>543</v>
      </c>
      <c r="B200" s="61" t="s">
        <v>17</v>
      </c>
      <c r="D200" s="59" t="s">
        <v>18</v>
      </c>
      <c r="E200" s="61" t="s">
        <v>544</v>
      </c>
      <c r="F200" s="61" t="s">
        <v>545</v>
      </c>
      <c r="G200" s="61" t="s">
        <v>21</v>
      </c>
      <c r="H200" s="73">
        <v>2000</v>
      </c>
      <c r="J200" s="59">
        <v>13.15</v>
      </c>
      <c r="K200" s="59">
        <v>26300</v>
      </c>
      <c r="L200" s="59" t="s">
        <v>31</v>
      </c>
      <c r="M200" s="74" t="s">
        <v>52</v>
      </c>
      <c r="N200" s="59" t="s">
        <v>23</v>
      </c>
      <c r="O200" s="74" t="s">
        <v>52</v>
      </c>
      <c r="P200" s="59" t="s">
        <v>21</v>
      </c>
    </row>
    <row r="201" s="59" customFormat="1" spans="1:16">
      <c r="A201" s="61" t="s">
        <v>546</v>
      </c>
      <c r="B201" s="61" t="s">
        <v>17</v>
      </c>
      <c r="D201" s="59" t="s">
        <v>28</v>
      </c>
      <c r="E201" s="61" t="s">
        <v>267</v>
      </c>
      <c r="F201" s="61" t="s">
        <v>268</v>
      </c>
      <c r="G201" s="61" t="s">
        <v>21</v>
      </c>
      <c r="H201" s="73">
        <v>250</v>
      </c>
      <c r="J201" s="59">
        <v>16.95</v>
      </c>
      <c r="K201" s="59">
        <v>4237.5</v>
      </c>
      <c r="L201" s="74" t="s">
        <v>31</v>
      </c>
      <c r="M201" s="74" t="s">
        <v>32</v>
      </c>
      <c r="N201" s="74" t="s">
        <v>23</v>
      </c>
      <c r="O201" s="74" t="s">
        <v>32</v>
      </c>
      <c r="P201" s="59" t="s">
        <v>23</v>
      </c>
    </row>
    <row r="202" s="59" customFormat="1" spans="1:16">
      <c r="A202" s="61" t="s">
        <v>547</v>
      </c>
      <c r="B202" s="61" t="s">
        <v>17</v>
      </c>
      <c r="D202" s="59" t="s">
        <v>18</v>
      </c>
      <c r="E202" s="61" t="s">
        <v>314</v>
      </c>
      <c r="F202" s="61" t="s">
        <v>315</v>
      </c>
      <c r="G202" s="61" t="s">
        <v>21</v>
      </c>
      <c r="H202" s="73">
        <v>320</v>
      </c>
      <c r="J202" s="59">
        <v>30.265</v>
      </c>
      <c r="K202" s="59">
        <v>9684.8</v>
      </c>
      <c r="L202" s="74" t="s">
        <v>31</v>
      </c>
      <c r="M202" s="74" t="s">
        <v>52</v>
      </c>
      <c r="N202" s="74" t="s">
        <v>23</v>
      </c>
      <c r="O202" s="74" t="s">
        <v>52</v>
      </c>
      <c r="P202" s="59" t="s">
        <v>23</v>
      </c>
    </row>
    <row r="203" s="59" customFormat="1" spans="1:16">
      <c r="A203" s="61" t="s">
        <v>548</v>
      </c>
      <c r="B203" s="61" t="s">
        <v>17</v>
      </c>
      <c r="D203" s="59" t="s">
        <v>18</v>
      </c>
      <c r="E203" s="61" t="s">
        <v>549</v>
      </c>
      <c r="F203" s="61" t="s">
        <v>550</v>
      </c>
      <c r="G203" s="61" t="s">
        <v>21</v>
      </c>
      <c r="H203" s="73">
        <v>525</v>
      </c>
      <c r="J203" s="59">
        <v>18.915</v>
      </c>
      <c r="K203" s="59">
        <v>9930.375</v>
      </c>
      <c r="L203" s="74" t="s">
        <v>31</v>
      </c>
      <c r="M203" s="74" t="s">
        <v>52</v>
      </c>
      <c r="N203" s="74" t="s">
        <v>23</v>
      </c>
      <c r="O203" s="74" t="s">
        <v>52</v>
      </c>
      <c r="P203" s="59" t="s">
        <v>23</v>
      </c>
    </row>
    <row r="204" s="59" customFormat="1" spans="1:16">
      <c r="A204" s="61" t="s">
        <v>551</v>
      </c>
      <c r="B204" s="61" t="s">
        <v>17</v>
      </c>
      <c r="D204" s="59" t="s">
        <v>28</v>
      </c>
      <c r="E204" s="61" t="s">
        <v>273</v>
      </c>
      <c r="F204" s="61" t="s">
        <v>274</v>
      </c>
      <c r="G204" s="61" t="s">
        <v>21</v>
      </c>
      <c r="H204" s="73">
        <v>80</v>
      </c>
      <c r="J204" s="59">
        <v>22</v>
      </c>
      <c r="K204" s="59">
        <v>1760</v>
      </c>
      <c r="L204" s="59" t="s">
        <v>31</v>
      </c>
      <c r="M204" s="74" t="s">
        <v>32</v>
      </c>
      <c r="N204" s="74" t="s">
        <v>23</v>
      </c>
      <c r="O204" s="74" t="s">
        <v>32</v>
      </c>
      <c r="P204" s="59" t="s">
        <v>23</v>
      </c>
    </row>
    <row r="205" s="59" customFormat="1" spans="1:16">
      <c r="A205" s="61" t="s">
        <v>552</v>
      </c>
      <c r="B205" s="61" t="s">
        <v>17</v>
      </c>
      <c r="D205" s="59" t="s">
        <v>18</v>
      </c>
      <c r="E205" s="61" t="s">
        <v>553</v>
      </c>
      <c r="F205" s="61" t="s">
        <v>554</v>
      </c>
      <c r="G205" s="61" t="s">
        <v>21</v>
      </c>
      <c r="H205" s="73">
        <v>50</v>
      </c>
      <c r="J205" s="59">
        <v>20</v>
      </c>
      <c r="K205" s="59">
        <v>1000</v>
      </c>
      <c r="L205" s="74" t="s">
        <v>31</v>
      </c>
      <c r="M205" s="74" t="s">
        <v>52</v>
      </c>
      <c r="N205" s="74" t="s">
        <v>23</v>
      </c>
      <c r="O205" s="74" t="s">
        <v>52</v>
      </c>
      <c r="P205" s="59" t="s">
        <v>23</v>
      </c>
    </row>
    <row r="206" s="59" customFormat="1" spans="1:16">
      <c r="A206" s="61" t="s">
        <v>555</v>
      </c>
      <c r="B206" s="61" t="s">
        <v>17</v>
      </c>
      <c r="D206" s="59" t="s">
        <v>28</v>
      </c>
      <c r="E206" s="61" t="s">
        <v>556</v>
      </c>
      <c r="F206" s="61" t="s">
        <v>557</v>
      </c>
      <c r="G206" s="61" t="s">
        <v>21</v>
      </c>
      <c r="H206" s="73">
        <v>200</v>
      </c>
      <c r="J206" s="59">
        <v>14.8</v>
      </c>
      <c r="K206" s="59">
        <v>2960</v>
      </c>
      <c r="L206" s="74" t="s">
        <v>31</v>
      </c>
      <c r="M206" s="74" t="s">
        <v>32</v>
      </c>
      <c r="N206" s="74" t="s">
        <v>23</v>
      </c>
      <c r="O206" s="74" t="s">
        <v>32</v>
      </c>
      <c r="P206" s="59" t="s">
        <v>23</v>
      </c>
    </row>
    <row r="207" s="59" customFormat="1" spans="1:16">
      <c r="A207" s="61" t="s">
        <v>558</v>
      </c>
      <c r="B207" s="61" t="s">
        <v>17</v>
      </c>
      <c r="D207" s="59" t="s">
        <v>28</v>
      </c>
      <c r="E207" s="61" t="s">
        <v>559</v>
      </c>
      <c r="F207" s="61" t="s">
        <v>560</v>
      </c>
      <c r="G207" s="61" t="s">
        <v>21</v>
      </c>
      <c r="H207" s="73">
        <v>100</v>
      </c>
      <c r="J207" s="59">
        <v>17.955</v>
      </c>
      <c r="K207" s="59">
        <v>1795.5</v>
      </c>
      <c r="L207" s="74" t="s">
        <v>31</v>
      </c>
      <c r="M207" s="74" t="s">
        <v>32</v>
      </c>
      <c r="N207" s="74" t="s">
        <v>23</v>
      </c>
      <c r="O207" s="74" t="s">
        <v>32</v>
      </c>
      <c r="P207" s="59" t="s">
        <v>23</v>
      </c>
    </row>
    <row r="208" s="59" customFormat="1" spans="1:16">
      <c r="A208" s="61" t="s">
        <v>561</v>
      </c>
      <c r="B208" s="61" t="s">
        <v>17</v>
      </c>
      <c r="D208" s="59" t="s">
        <v>18</v>
      </c>
      <c r="E208" s="61" t="s">
        <v>553</v>
      </c>
      <c r="F208" s="61" t="s">
        <v>554</v>
      </c>
      <c r="G208" s="61" t="s">
        <v>21</v>
      </c>
      <c r="H208" s="73">
        <v>300</v>
      </c>
      <c r="J208" s="59">
        <v>20</v>
      </c>
      <c r="K208" s="59">
        <v>6000</v>
      </c>
      <c r="L208" s="74" t="s">
        <v>31</v>
      </c>
      <c r="M208" s="74" t="s">
        <v>52</v>
      </c>
      <c r="N208" s="74" t="s">
        <v>23</v>
      </c>
      <c r="O208" s="74" t="s">
        <v>52</v>
      </c>
      <c r="P208" s="59" t="s">
        <v>23</v>
      </c>
    </row>
    <row r="209" s="59" customFormat="1" spans="1:16">
      <c r="A209" s="61" t="s">
        <v>562</v>
      </c>
      <c r="B209" s="61" t="s">
        <v>17</v>
      </c>
      <c r="D209" s="59" t="s">
        <v>28</v>
      </c>
      <c r="E209" s="61" t="s">
        <v>563</v>
      </c>
      <c r="F209" s="61" t="s">
        <v>564</v>
      </c>
      <c r="G209" s="61" t="s">
        <v>23</v>
      </c>
      <c r="H209" s="73">
        <v>50</v>
      </c>
      <c r="J209" s="59">
        <v>10.3</v>
      </c>
      <c r="K209" s="59">
        <v>515</v>
      </c>
      <c r="L209" s="59" t="s">
        <v>31</v>
      </c>
      <c r="M209" s="74" t="s">
        <v>32</v>
      </c>
      <c r="N209" s="74" t="s">
        <v>23</v>
      </c>
      <c r="O209" s="74" t="s">
        <v>32</v>
      </c>
      <c r="P209" s="59" t="s">
        <v>23</v>
      </c>
    </row>
    <row r="210" s="59" customFormat="1" spans="1:16">
      <c r="A210" s="61" t="s">
        <v>565</v>
      </c>
      <c r="B210" s="61" t="s">
        <v>17</v>
      </c>
      <c r="D210" s="59" t="s">
        <v>28</v>
      </c>
      <c r="E210" s="61" t="s">
        <v>566</v>
      </c>
      <c r="F210" s="61" t="s">
        <v>567</v>
      </c>
      <c r="G210" s="61" t="s">
        <v>23</v>
      </c>
      <c r="H210" s="73">
        <v>50</v>
      </c>
      <c r="J210" s="59">
        <v>9.8</v>
      </c>
      <c r="K210" s="59">
        <v>490</v>
      </c>
      <c r="L210" s="59" t="s">
        <v>31</v>
      </c>
      <c r="M210" s="74" t="s">
        <v>32</v>
      </c>
      <c r="N210" s="74" t="s">
        <v>23</v>
      </c>
      <c r="O210" s="74" t="s">
        <v>32</v>
      </c>
      <c r="P210" s="59" t="s">
        <v>23</v>
      </c>
    </row>
    <row r="211" s="59" customFormat="1" spans="1:16">
      <c r="A211" s="61" t="s">
        <v>568</v>
      </c>
      <c r="B211" s="61" t="s">
        <v>17</v>
      </c>
      <c r="D211" s="59" t="s">
        <v>28</v>
      </c>
      <c r="E211" s="61" t="s">
        <v>37</v>
      </c>
      <c r="F211" s="61" t="s">
        <v>38</v>
      </c>
      <c r="G211" s="61" t="s">
        <v>23</v>
      </c>
      <c r="H211" s="73">
        <v>150</v>
      </c>
      <c r="J211" s="59">
        <v>5.3</v>
      </c>
      <c r="K211" s="59">
        <v>795</v>
      </c>
      <c r="L211" s="59" t="s">
        <v>31</v>
      </c>
      <c r="M211" s="74" t="s">
        <v>32</v>
      </c>
      <c r="N211" s="74" t="s">
        <v>23</v>
      </c>
      <c r="O211" s="74" t="s">
        <v>32</v>
      </c>
      <c r="P211" s="59" t="s">
        <v>23</v>
      </c>
    </row>
    <row r="212" s="59" customFormat="1" spans="1:16">
      <c r="A212" s="61" t="s">
        <v>569</v>
      </c>
      <c r="B212" s="61" t="s">
        <v>17</v>
      </c>
      <c r="D212" s="59" t="s">
        <v>28</v>
      </c>
      <c r="E212" s="61" t="s">
        <v>209</v>
      </c>
      <c r="F212" s="61" t="s">
        <v>210</v>
      </c>
      <c r="G212" s="61" t="s">
        <v>23</v>
      </c>
      <c r="H212" s="73">
        <v>180</v>
      </c>
      <c r="J212" s="59">
        <v>9.8</v>
      </c>
      <c r="K212" s="59">
        <v>1764</v>
      </c>
      <c r="L212" s="59" t="s">
        <v>31</v>
      </c>
      <c r="M212" s="74" t="s">
        <v>32</v>
      </c>
      <c r="N212" s="74" t="s">
        <v>23</v>
      </c>
      <c r="O212" s="74" t="s">
        <v>32</v>
      </c>
      <c r="P212" s="59" t="s">
        <v>23</v>
      </c>
    </row>
    <row r="213" s="59" customFormat="1" spans="1:16">
      <c r="A213" s="61" t="s">
        <v>570</v>
      </c>
      <c r="B213" s="61" t="s">
        <v>17</v>
      </c>
      <c r="D213" s="59" t="s">
        <v>28</v>
      </c>
      <c r="E213" s="61" t="s">
        <v>46</v>
      </c>
      <c r="F213" s="61" t="s">
        <v>47</v>
      </c>
      <c r="G213" s="61" t="s">
        <v>23</v>
      </c>
      <c r="H213" s="73">
        <v>50</v>
      </c>
      <c r="J213" s="59">
        <v>5.6</v>
      </c>
      <c r="K213" s="59">
        <v>280</v>
      </c>
      <c r="L213" s="59" t="s">
        <v>31</v>
      </c>
      <c r="M213" s="74" t="s">
        <v>32</v>
      </c>
      <c r="N213" s="74" t="s">
        <v>23</v>
      </c>
      <c r="O213" s="74" t="s">
        <v>32</v>
      </c>
      <c r="P213" s="59" t="s">
        <v>23</v>
      </c>
    </row>
    <row r="214" s="59" customFormat="1" spans="1:16">
      <c r="A214" s="61" t="s">
        <v>571</v>
      </c>
      <c r="B214" s="61" t="s">
        <v>17</v>
      </c>
      <c r="D214" s="59" t="s">
        <v>28</v>
      </c>
      <c r="E214" s="61" t="s">
        <v>572</v>
      </c>
      <c r="F214" s="61" t="s">
        <v>573</v>
      </c>
      <c r="G214" s="61" t="s">
        <v>21</v>
      </c>
      <c r="H214" s="73">
        <v>200</v>
      </c>
      <c r="J214" s="59">
        <v>17.02</v>
      </c>
      <c r="K214" s="59">
        <v>3404</v>
      </c>
      <c r="L214" s="74" t="s">
        <v>31</v>
      </c>
      <c r="M214" s="74" t="s">
        <v>32</v>
      </c>
      <c r="N214" s="74" t="s">
        <v>23</v>
      </c>
      <c r="O214" s="74" t="s">
        <v>32</v>
      </c>
      <c r="P214" s="59" t="s">
        <v>23</v>
      </c>
    </row>
    <row r="215" s="59" customFormat="1" spans="1:16">
      <c r="A215" s="61" t="s">
        <v>574</v>
      </c>
      <c r="B215" s="61" t="s">
        <v>17</v>
      </c>
      <c r="D215" s="59" t="s">
        <v>18</v>
      </c>
      <c r="E215" s="61" t="s">
        <v>575</v>
      </c>
      <c r="F215" s="61" t="s">
        <v>576</v>
      </c>
      <c r="G215" s="61" t="s">
        <v>21</v>
      </c>
      <c r="H215" s="73">
        <v>300</v>
      </c>
      <c r="J215" s="59">
        <v>20.295</v>
      </c>
      <c r="K215" s="59">
        <v>6088.5</v>
      </c>
      <c r="L215" s="59" t="s">
        <v>31</v>
      </c>
      <c r="M215" s="74" t="s">
        <v>125</v>
      </c>
      <c r="N215" s="59" t="s">
        <v>23</v>
      </c>
      <c r="O215" s="74" t="s">
        <v>125</v>
      </c>
      <c r="P215" s="59" t="s">
        <v>23</v>
      </c>
    </row>
    <row r="216" s="59" customFormat="1" spans="1:16">
      <c r="A216" s="61" t="s">
        <v>577</v>
      </c>
      <c r="B216" s="61" t="s">
        <v>17</v>
      </c>
      <c r="D216" s="59" t="s">
        <v>28</v>
      </c>
      <c r="E216" s="61" t="s">
        <v>575</v>
      </c>
      <c r="F216" s="61" t="s">
        <v>576</v>
      </c>
      <c r="G216" s="61" t="s">
        <v>21</v>
      </c>
      <c r="H216" s="73">
        <v>50</v>
      </c>
      <c r="J216" s="59">
        <v>20.295</v>
      </c>
      <c r="K216" s="59">
        <v>1014.75</v>
      </c>
      <c r="L216" s="59" t="s">
        <v>31</v>
      </c>
      <c r="M216" s="74" t="s">
        <v>32</v>
      </c>
      <c r="N216" s="74" t="s">
        <v>23</v>
      </c>
      <c r="O216" s="74" t="s">
        <v>32</v>
      </c>
      <c r="P216" s="59" t="s">
        <v>23</v>
      </c>
    </row>
    <row r="217" s="59" customFormat="1" spans="1:16">
      <c r="A217" s="61" t="s">
        <v>578</v>
      </c>
      <c r="B217" s="61" t="s">
        <v>17</v>
      </c>
      <c r="D217" s="59" t="s">
        <v>18</v>
      </c>
      <c r="E217" s="61" t="s">
        <v>579</v>
      </c>
      <c r="F217" s="61" t="s">
        <v>580</v>
      </c>
      <c r="G217" s="61" t="s">
        <v>21</v>
      </c>
      <c r="H217" s="73">
        <v>300</v>
      </c>
      <c r="J217" s="59">
        <v>8.955</v>
      </c>
      <c r="K217" s="59">
        <v>2686.5</v>
      </c>
      <c r="L217" s="74" t="s">
        <v>31</v>
      </c>
      <c r="M217" s="74" t="s">
        <v>158</v>
      </c>
      <c r="N217" s="74" t="s">
        <v>23</v>
      </c>
      <c r="O217" s="74" t="s">
        <v>158</v>
      </c>
      <c r="P217" s="59" t="s">
        <v>23</v>
      </c>
    </row>
    <row r="218" s="59" customFormat="1" spans="1:16">
      <c r="A218" s="61" t="s">
        <v>581</v>
      </c>
      <c r="B218" s="61" t="s">
        <v>17</v>
      </c>
      <c r="D218" s="59" t="s">
        <v>28</v>
      </c>
      <c r="E218" s="61" t="s">
        <v>579</v>
      </c>
      <c r="F218" s="61" t="s">
        <v>580</v>
      </c>
      <c r="G218" s="61" t="s">
        <v>21</v>
      </c>
      <c r="H218" s="73">
        <v>30</v>
      </c>
      <c r="J218" s="59">
        <v>8.955</v>
      </c>
      <c r="K218" s="59">
        <v>268.65</v>
      </c>
      <c r="L218" s="74" t="s">
        <v>31</v>
      </c>
      <c r="M218" s="74" t="s">
        <v>32</v>
      </c>
      <c r="N218" s="74" t="s">
        <v>23</v>
      </c>
      <c r="O218" s="74" t="s">
        <v>32</v>
      </c>
      <c r="P218" s="59" t="s">
        <v>23</v>
      </c>
    </row>
    <row r="219" s="59" customFormat="1" spans="1:16">
      <c r="A219" s="61" t="s">
        <v>582</v>
      </c>
      <c r="B219" s="61" t="s">
        <v>17</v>
      </c>
      <c r="D219" s="59" t="s">
        <v>18</v>
      </c>
      <c r="E219" s="61" t="s">
        <v>533</v>
      </c>
      <c r="F219" s="61" t="s">
        <v>534</v>
      </c>
      <c r="G219" s="61" t="s">
        <v>21</v>
      </c>
      <c r="H219" s="73">
        <v>1000</v>
      </c>
      <c r="J219" s="59">
        <v>17.9411</v>
      </c>
      <c r="K219" s="59">
        <v>17941.1</v>
      </c>
      <c r="L219" s="59" t="s">
        <v>31</v>
      </c>
      <c r="M219" s="74" t="s">
        <v>52</v>
      </c>
      <c r="N219" s="59" t="s">
        <v>23</v>
      </c>
      <c r="O219" s="74" t="s">
        <v>52</v>
      </c>
      <c r="P219" s="59" t="s">
        <v>23</v>
      </c>
    </row>
    <row r="220" s="59" customFormat="1" spans="1:16">
      <c r="A220" s="61" t="s">
        <v>583</v>
      </c>
      <c r="B220" s="61" t="s">
        <v>17</v>
      </c>
      <c r="D220" s="59" t="s">
        <v>18</v>
      </c>
      <c r="E220" s="61" t="s">
        <v>584</v>
      </c>
      <c r="F220" s="61" t="s">
        <v>585</v>
      </c>
      <c r="G220" s="61" t="s">
        <v>21</v>
      </c>
      <c r="H220" s="73">
        <v>300</v>
      </c>
      <c r="J220" s="59">
        <v>14.5</v>
      </c>
      <c r="K220" s="59">
        <v>4350</v>
      </c>
      <c r="L220" s="74" t="s">
        <v>31</v>
      </c>
      <c r="M220" s="74" t="s">
        <v>52</v>
      </c>
      <c r="N220" s="74" t="s">
        <v>23</v>
      </c>
      <c r="O220" s="74" t="s">
        <v>52</v>
      </c>
      <c r="P220" s="59" t="s">
        <v>23</v>
      </c>
    </row>
    <row r="221" s="59" customFormat="1" spans="1:16">
      <c r="A221" s="61" t="s">
        <v>586</v>
      </c>
      <c r="B221" s="61" t="s">
        <v>17</v>
      </c>
      <c r="D221" s="59" t="s">
        <v>28</v>
      </c>
      <c r="E221" s="61" t="s">
        <v>584</v>
      </c>
      <c r="F221" s="61" t="s">
        <v>585</v>
      </c>
      <c r="G221" s="61" t="s">
        <v>21</v>
      </c>
      <c r="H221" s="73">
        <v>30</v>
      </c>
      <c r="J221" s="59">
        <v>14.5</v>
      </c>
      <c r="K221" s="59">
        <v>435</v>
      </c>
      <c r="L221" s="74" t="s">
        <v>31</v>
      </c>
      <c r="M221" s="74" t="s">
        <v>32</v>
      </c>
      <c r="N221" s="74" t="s">
        <v>23</v>
      </c>
      <c r="O221" s="74" t="s">
        <v>32</v>
      </c>
      <c r="P221" s="59" t="s">
        <v>23</v>
      </c>
    </row>
    <row r="222" s="59" customFormat="1" spans="1:16">
      <c r="A222" s="61" t="s">
        <v>587</v>
      </c>
      <c r="B222" s="61" t="s">
        <v>17</v>
      </c>
      <c r="D222" s="59" t="s">
        <v>18</v>
      </c>
      <c r="E222" s="61" t="s">
        <v>588</v>
      </c>
      <c r="F222" s="61" t="s">
        <v>589</v>
      </c>
      <c r="G222" s="61" t="s">
        <v>21</v>
      </c>
      <c r="H222" s="73">
        <v>160</v>
      </c>
      <c r="J222" s="59">
        <v>18.45</v>
      </c>
      <c r="K222" s="59">
        <v>2952</v>
      </c>
      <c r="L222" s="74" t="s">
        <v>31</v>
      </c>
      <c r="M222" s="74" t="s">
        <v>52</v>
      </c>
      <c r="N222" s="74" t="s">
        <v>23</v>
      </c>
      <c r="O222" s="74" t="s">
        <v>52</v>
      </c>
      <c r="P222" s="59" t="s">
        <v>23</v>
      </c>
    </row>
    <row r="223" s="59" customFormat="1" spans="1:16">
      <c r="A223" s="61" t="s">
        <v>590</v>
      </c>
      <c r="B223" s="61" t="s">
        <v>17</v>
      </c>
      <c r="D223" s="59" t="s">
        <v>238</v>
      </c>
      <c r="E223" s="61" t="s">
        <v>239</v>
      </c>
      <c r="F223" s="61" t="s">
        <v>240</v>
      </c>
      <c r="G223" s="61" t="s">
        <v>23</v>
      </c>
      <c r="H223" s="73">
        <v>1581</v>
      </c>
      <c r="J223" s="59">
        <v>6.2</v>
      </c>
      <c r="K223" s="59">
        <v>9802.2</v>
      </c>
      <c r="L223" s="59" t="s">
        <v>31</v>
      </c>
      <c r="M223" s="74" t="s">
        <v>241</v>
      </c>
      <c r="N223" s="59" t="s">
        <v>23</v>
      </c>
      <c r="O223" s="74" t="s">
        <v>241</v>
      </c>
      <c r="P223" s="59" t="s">
        <v>23</v>
      </c>
    </row>
    <row r="224" s="59" customFormat="1" spans="1:16">
      <c r="A224" s="61" t="s">
        <v>591</v>
      </c>
      <c r="B224" s="61" t="s">
        <v>17</v>
      </c>
      <c r="D224" s="59" t="s">
        <v>18</v>
      </c>
      <c r="E224" s="61" t="s">
        <v>592</v>
      </c>
      <c r="F224" s="61" t="s">
        <v>593</v>
      </c>
      <c r="G224" s="61" t="s">
        <v>21</v>
      </c>
      <c r="H224" s="73">
        <v>768</v>
      </c>
      <c r="J224" s="59">
        <v>8.9075</v>
      </c>
      <c r="K224" s="59">
        <v>6840.96</v>
      </c>
      <c r="L224" s="74" t="s">
        <v>31</v>
      </c>
      <c r="M224" s="74" t="s">
        <v>52</v>
      </c>
      <c r="N224" s="74" t="s">
        <v>23</v>
      </c>
      <c r="O224" s="74" t="s">
        <v>52</v>
      </c>
      <c r="P224" s="59" t="s">
        <v>23</v>
      </c>
    </row>
    <row r="225" s="59" customFormat="1" spans="1:16">
      <c r="A225" s="61" t="s">
        <v>594</v>
      </c>
      <c r="B225" s="61" t="s">
        <v>17</v>
      </c>
      <c r="D225" s="59" t="s">
        <v>18</v>
      </c>
      <c r="E225" s="61" t="s">
        <v>267</v>
      </c>
      <c r="F225" s="61" t="s">
        <v>268</v>
      </c>
      <c r="G225" s="61" t="s">
        <v>21</v>
      </c>
      <c r="H225" s="73">
        <v>500</v>
      </c>
      <c r="J225" s="59">
        <v>16.95</v>
      </c>
      <c r="K225" s="59">
        <v>8475</v>
      </c>
      <c r="L225" s="74" t="s">
        <v>31</v>
      </c>
      <c r="M225" s="74" t="s">
        <v>52</v>
      </c>
      <c r="N225" s="74" t="s">
        <v>23</v>
      </c>
      <c r="O225" s="74" t="s">
        <v>52</v>
      </c>
      <c r="P225" s="59" t="s">
        <v>23</v>
      </c>
    </row>
    <row r="226" s="59" customFormat="1" spans="1:16">
      <c r="A226" s="61" t="s">
        <v>595</v>
      </c>
      <c r="B226" s="61" t="s">
        <v>17</v>
      </c>
      <c r="D226" s="59" t="s">
        <v>18</v>
      </c>
      <c r="E226" s="61" t="s">
        <v>419</v>
      </c>
      <c r="F226" s="61" t="s">
        <v>420</v>
      </c>
      <c r="G226" s="61" t="s">
        <v>21</v>
      </c>
      <c r="H226" s="73">
        <v>500</v>
      </c>
      <c r="J226" s="59">
        <v>6</v>
      </c>
      <c r="K226" s="59">
        <v>3000</v>
      </c>
      <c r="L226" s="74" t="s">
        <v>22</v>
      </c>
      <c r="P226" s="59" t="s">
        <v>23</v>
      </c>
    </row>
    <row r="227" s="59" customFormat="1" spans="1:16">
      <c r="A227" s="61" t="s">
        <v>596</v>
      </c>
      <c r="B227" s="61" t="s">
        <v>17</v>
      </c>
      <c r="D227" s="59" t="s">
        <v>18</v>
      </c>
      <c r="E227" s="61" t="s">
        <v>597</v>
      </c>
      <c r="F227" s="61" t="s">
        <v>598</v>
      </c>
      <c r="G227" s="61" t="s">
        <v>21</v>
      </c>
      <c r="H227" s="73">
        <v>50</v>
      </c>
      <c r="J227" s="59">
        <v>35.91</v>
      </c>
      <c r="K227" s="59">
        <v>1795.5</v>
      </c>
      <c r="L227" s="74" t="s">
        <v>31</v>
      </c>
      <c r="M227" s="74" t="s">
        <v>75</v>
      </c>
      <c r="N227" s="74" t="s">
        <v>23</v>
      </c>
      <c r="O227" s="74" t="s">
        <v>75</v>
      </c>
      <c r="P227" s="59" t="s">
        <v>23</v>
      </c>
    </row>
    <row r="228" s="59" customFormat="1" spans="1:16">
      <c r="A228" s="61" t="s">
        <v>599</v>
      </c>
      <c r="B228" s="61" t="s">
        <v>17</v>
      </c>
      <c r="D228" s="59" t="s">
        <v>18</v>
      </c>
      <c r="E228" s="61" t="s">
        <v>597</v>
      </c>
      <c r="F228" s="61" t="s">
        <v>598</v>
      </c>
      <c r="G228" s="61" t="s">
        <v>21</v>
      </c>
      <c r="H228" s="73">
        <v>300</v>
      </c>
      <c r="J228" s="59">
        <v>35.91</v>
      </c>
      <c r="K228" s="59">
        <v>10773</v>
      </c>
      <c r="L228" s="74" t="s">
        <v>31</v>
      </c>
      <c r="M228" s="74" t="s">
        <v>75</v>
      </c>
      <c r="N228" s="74" t="s">
        <v>23</v>
      </c>
      <c r="O228" s="74" t="s">
        <v>75</v>
      </c>
      <c r="P228" s="59" t="s">
        <v>23</v>
      </c>
    </row>
    <row r="229" s="59" customFormat="1" spans="1:16">
      <c r="A229" s="61" t="s">
        <v>600</v>
      </c>
      <c r="B229" s="61" t="s">
        <v>17</v>
      </c>
      <c r="D229" s="59" t="s">
        <v>28</v>
      </c>
      <c r="E229" s="61" t="s">
        <v>601</v>
      </c>
      <c r="F229" s="61" t="s">
        <v>602</v>
      </c>
      <c r="G229" s="61" t="s">
        <v>23</v>
      </c>
      <c r="H229" s="73">
        <v>16</v>
      </c>
      <c r="J229" s="59">
        <v>2.4</v>
      </c>
      <c r="K229" s="59">
        <v>38.4</v>
      </c>
      <c r="L229" s="59" t="s">
        <v>31</v>
      </c>
      <c r="M229" s="74" t="s">
        <v>32</v>
      </c>
      <c r="N229" s="74" t="s">
        <v>23</v>
      </c>
      <c r="O229" s="74" t="s">
        <v>32</v>
      </c>
      <c r="P229" s="59" t="s">
        <v>23</v>
      </c>
    </row>
    <row r="230" s="59" customFormat="1" spans="1:16">
      <c r="A230" s="61" t="s">
        <v>603</v>
      </c>
      <c r="B230" s="61" t="s">
        <v>17</v>
      </c>
      <c r="D230" s="59" t="s">
        <v>18</v>
      </c>
      <c r="E230" s="61" t="s">
        <v>604</v>
      </c>
      <c r="F230" s="61" t="s">
        <v>605</v>
      </c>
      <c r="G230" s="61" t="s">
        <v>23</v>
      </c>
      <c r="H230" s="73">
        <v>50</v>
      </c>
      <c r="J230" s="59">
        <v>6.8</v>
      </c>
      <c r="K230" s="59">
        <v>340</v>
      </c>
      <c r="L230" s="59" t="s">
        <v>31</v>
      </c>
      <c r="M230" s="59" t="s">
        <v>75</v>
      </c>
      <c r="N230" s="59" t="s">
        <v>23</v>
      </c>
      <c r="O230" s="59" t="s">
        <v>75</v>
      </c>
      <c r="P230" s="59" t="s">
        <v>23</v>
      </c>
    </row>
    <row r="231" s="59" customFormat="1" spans="1:16">
      <c r="A231" s="61" t="s">
        <v>606</v>
      </c>
      <c r="B231" s="61" t="s">
        <v>17</v>
      </c>
      <c r="D231" s="59" t="s">
        <v>18</v>
      </c>
      <c r="E231" s="61" t="s">
        <v>607</v>
      </c>
      <c r="F231" s="61" t="s">
        <v>608</v>
      </c>
      <c r="G231" s="61" t="s">
        <v>21</v>
      </c>
      <c r="H231" s="73">
        <v>1000</v>
      </c>
      <c r="J231" s="59">
        <v>16.327</v>
      </c>
      <c r="K231" s="59">
        <v>16327</v>
      </c>
      <c r="L231" s="59" t="s">
        <v>31</v>
      </c>
      <c r="M231" s="74" t="s">
        <v>52</v>
      </c>
      <c r="N231" s="59" t="s">
        <v>23</v>
      </c>
      <c r="O231" s="74" t="s">
        <v>52</v>
      </c>
      <c r="P231" s="59" t="s">
        <v>23</v>
      </c>
    </row>
    <row r="232" s="59" customFormat="1" spans="1:16">
      <c r="A232" s="61" t="s">
        <v>609</v>
      </c>
      <c r="B232" s="61" t="s">
        <v>17</v>
      </c>
      <c r="D232" s="59" t="s">
        <v>28</v>
      </c>
      <c r="E232" s="61" t="s">
        <v>467</v>
      </c>
      <c r="F232" s="61" t="s">
        <v>468</v>
      </c>
      <c r="G232" s="61" t="s">
        <v>23</v>
      </c>
      <c r="H232" s="73">
        <v>80</v>
      </c>
      <c r="J232" s="59">
        <v>3</v>
      </c>
      <c r="K232" s="59">
        <v>240</v>
      </c>
      <c r="L232" s="59" t="s">
        <v>31</v>
      </c>
      <c r="M232" s="74" t="s">
        <v>32</v>
      </c>
      <c r="N232" s="74" t="s">
        <v>23</v>
      </c>
      <c r="O232" s="74" t="s">
        <v>32</v>
      </c>
      <c r="P232" s="59" t="s">
        <v>23</v>
      </c>
    </row>
    <row r="233" s="59" customFormat="1" spans="1:16">
      <c r="A233" s="61" t="s">
        <v>610</v>
      </c>
      <c r="B233" s="61" t="s">
        <v>17</v>
      </c>
      <c r="D233" s="59" t="s">
        <v>28</v>
      </c>
      <c r="E233" s="61" t="s">
        <v>611</v>
      </c>
      <c r="F233" s="61" t="s">
        <v>612</v>
      </c>
      <c r="G233" s="61" t="s">
        <v>23</v>
      </c>
      <c r="H233" s="73">
        <v>50</v>
      </c>
      <c r="J233" s="59">
        <v>12.25</v>
      </c>
      <c r="K233" s="59">
        <v>612.5</v>
      </c>
      <c r="L233" s="59" t="s">
        <v>31</v>
      </c>
      <c r="M233" s="74" t="s">
        <v>32</v>
      </c>
      <c r="N233" s="74" t="s">
        <v>23</v>
      </c>
      <c r="O233" s="74" t="s">
        <v>32</v>
      </c>
      <c r="P233" s="59" t="s">
        <v>23</v>
      </c>
    </row>
    <row r="234" s="59" customFormat="1" spans="1:16">
      <c r="A234" s="61" t="s">
        <v>613</v>
      </c>
      <c r="B234" s="61" t="s">
        <v>17</v>
      </c>
      <c r="D234" s="59" t="s">
        <v>18</v>
      </c>
      <c r="E234" s="61" t="s">
        <v>530</v>
      </c>
      <c r="F234" s="61" t="s">
        <v>531</v>
      </c>
      <c r="G234" s="61" t="s">
        <v>21</v>
      </c>
      <c r="H234" s="73">
        <v>300</v>
      </c>
      <c r="J234" s="59">
        <v>24.5</v>
      </c>
      <c r="K234" s="59">
        <v>7350</v>
      </c>
      <c r="L234" s="74" t="s">
        <v>31</v>
      </c>
      <c r="M234" s="74" t="s">
        <v>52</v>
      </c>
      <c r="N234" s="74" t="s">
        <v>23</v>
      </c>
      <c r="O234" s="74" t="s">
        <v>52</v>
      </c>
      <c r="P234" s="59" t="s">
        <v>23</v>
      </c>
    </row>
    <row r="235" s="59" customFormat="1" spans="1:16">
      <c r="A235" s="61" t="s">
        <v>614</v>
      </c>
      <c r="B235" s="61" t="s">
        <v>17</v>
      </c>
      <c r="D235" s="59" t="s">
        <v>18</v>
      </c>
      <c r="E235" s="61" t="s">
        <v>615</v>
      </c>
      <c r="F235" s="61" t="s">
        <v>616</v>
      </c>
      <c r="G235" s="61" t="s">
        <v>21</v>
      </c>
      <c r="H235" s="73">
        <v>200</v>
      </c>
      <c r="J235" s="59">
        <v>26.3875</v>
      </c>
      <c r="K235" s="59">
        <v>5277.5</v>
      </c>
      <c r="L235" s="74" t="s">
        <v>31</v>
      </c>
      <c r="M235" s="74" t="s">
        <v>75</v>
      </c>
      <c r="N235" s="74" t="s">
        <v>23</v>
      </c>
      <c r="O235" s="74" t="s">
        <v>75</v>
      </c>
      <c r="P235" s="59" t="s">
        <v>23</v>
      </c>
    </row>
    <row r="236" s="59" customFormat="1" spans="1:16">
      <c r="A236" s="61" t="s">
        <v>617</v>
      </c>
      <c r="B236" s="61" t="s">
        <v>17</v>
      </c>
      <c r="D236" s="59" t="s">
        <v>18</v>
      </c>
      <c r="E236" s="61" t="s">
        <v>618</v>
      </c>
      <c r="F236" s="61" t="s">
        <v>619</v>
      </c>
      <c r="G236" s="61" t="s">
        <v>21</v>
      </c>
      <c r="H236" s="73">
        <v>200</v>
      </c>
      <c r="J236" s="59">
        <v>25.3875</v>
      </c>
      <c r="K236" s="59">
        <v>5077.5</v>
      </c>
      <c r="L236" s="74" t="s">
        <v>31</v>
      </c>
      <c r="M236" s="74" t="s">
        <v>75</v>
      </c>
      <c r="N236" s="74" t="s">
        <v>23</v>
      </c>
      <c r="O236" s="74" t="s">
        <v>75</v>
      </c>
      <c r="P236" s="59" t="s">
        <v>23</v>
      </c>
    </row>
    <row r="237" s="59" customFormat="1" spans="1:16">
      <c r="A237" s="61" t="s">
        <v>620</v>
      </c>
      <c r="B237" s="61" t="s">
        <v>17</v>
      </c>
      <c r="D237" s="59" t="s">
        <v>18</v>
      </c>
      <c r="E237" s="61" t="s">
        <v>621</v>
      </c>
      <c r="F237" s="61" t="s">
        <v>622</v>
      </c>
      <c r="G237" s="61" t="s">
        <v>21</v>
      </c>
      <c r="H237" s="73">
        <v>300</v>
      </c>
      <c r="J237" s="59">
        <v>24.982</v>
      </c>
      <c r="K237" s="59">
        <v>7494.6</v>
      </c>
      <c r="L237" s="59" t="s">
        <v>31</v>
      </c>
      <c r="M237" s="74" t="s">
        <v>52</v>
      </c>
      <c r="N237" s="59" t="s">
        <v>23</v>
      </c>
      <c r="O237" s="74" t="s">
        <v>52</v>
      </c>
      <c r="P237" s="59" t="s">
        <v>23</v>
      </c>
    </row>
    <row r="238" s="59" customFormat="1" spans="1:16">
      <c r="A238" s="61" t="s">
        <v>623</v>
      </c>
      <c r="B238" s="61" t="s">
        <v>17</v>
      </c>
      <c r="D238" s="59" t="s">
        <v>18</v>
      </c>
      <c r="E238" s="61" t="s">
        <v>621</v>
      </c>
      <c r="F238" s="61" t="s">
        <v>622</v>
      </c>
      <c r="G238" s="61" t="s">
        <v>21</v>
      </c>
      <c r="H238" s="73">
        <v>30</v>
      </c>
      <c r="J238" s="59">
        <v>24.982</v>
      </c>
      <c r="K238" s="59">
        <v>749.46</v>
      </c>
      <c r="L238" s="59" t="s">
        <v>31</v>
      </c>
      <c r="M238" s="74" t="s">
        <v>52</v>
      </c>
      <c r="N238" s="59" t="s">
        <v>23</v>
      </c>
      <c r="O238" s="74" t="s">
        <v>52</v>
      </c>
      <c r="P238" s="59" t="s">
        <v>23</v>
      </c>
    </row>
    <row r="239" s="59" customFormat="1" spans="1:16">
      <c r="A239" s="61" t="s">
        <v>624</v>
      </c>
      <c r="B239" s="61" t="s">
        <v>17</v>
      </c>
      <c r="D239" s="59" t="s">
        <v>18</v>
      </c>
      <c r="E239" s="61" t="s">
        <v>625</v>
      </c>
      <c r="F239" s="61" t="s">
        <v>626</v>
      </c>
      <c r="G239" s="61" t="s">
        <v>21</v>
      </c>
      <c r="H239" s="73">
        <v>30</v>
      </c>
      <c r="J239" s="59">
        <v>23.8</v>
      </c>
      <c r="K239" s="59">
        <v>714</v>
      </c>
      <c r="L239" s="74" t="s">
        <v>31</v>
      </c>
      <c r="M239" s="74" t="s">
        <v>52</v>
      </c>
      <c r="N239" s="74" t="s">
        <v>23</v>
      </c>
      <c r="O239" s="74" t="s">
        <v>52</v>
      </c>
      <c r="P239" s="59" t="s">
        <v>23</v>
      </c>
    </row>
    <row r="240" s="59" customFormat="1" spans="1:16">
      <c r="A240" s="61" t="s">
        <v>627</v>
      </c>
      <c r="B240" s="61" t="s">
        <v>17</v>
      </c>
      <c r="D240" s="59" t="s">
        <v>18</v>
      </c>
      <c r="E240" s="61" t="s">
        <v>264</v>
      </c>
      <c r="F240" s="61" t="s">
        <v>265</v>
      </c>
      <c r="G240" s="61" t="s">
        <v>21</v>
      </c>
      <c r="H240" s="73">
        <v>100</v>
      </c>
      <c r="J240" s="59">
        <v>17.85</v>
      </c>
      <c r="K240" s="59">
        <v>1785</v>
      </c>
      <c r="L240" s="74" t="s">
        <v>31</v>
      </c>
      <c r="M240" s="74" t="s">
        <v>52</v>
      </c>
      <c r="N240" s="74" t="s">
        <v>23</v>
      </c>
      <c r="O240" s="74" t="s">
        <v>52</v>
      </c>
      <c r="P240" s="59" t="s">
        <v>23</v>
      </c>
    </row>
    <row r="241" s="59" customFormat="1" spans="1:16">
      <c r="A241" s="61" t="s">
        <v>628</v>
      </c>
      <c r="B241" s="61" t="s">
        <v>17</v>
      </c>
      <c r="D241" s="59" t="s">
        <v>18</v>
      </c>
      <c r="E241" s="61" t="s">
        <v>629</v>
      </c>
      <c r="F241" s="61" t="s">
        <v>630</v>
      </c>
      <c r="G241" s="61" t="s">
        <v>21</v>
      </c>
      <c r="H241" s="73">
        <v>400</v>
      </c>
      <c r="J241" s="59">
        <v>27.05</v>
      </c>
      <c r="K241" s="59">
        <v>10820</v>
      </c>
      <c r="L241" s="74" t="s">
        <v>31</v>
      </c>
      <c r="M241" s="74" t="s">
        <v>52</v>
      </c>
      <c r="N241" s="74" t="s">
        <v>23</v>
      </c>
      <c r="O241" s="74" t="s">
        <v>52</v>
      </c>
      <c r="P241" s="59" t="s">
        <v>23</v>
      </c>
    </row>
    <row r="242" s="59" customFormat="1" spans="1:16">
      <c r="A242" s="61" t="s">
        <v>631</v>
      </c>
      <c r="B242" s="61" t="s">
        <v>17</v>
      </c>
      <c r="D242" s="59" t="s">
        <v>28</v>
      </c>
      <c r="E242" s="61" t="s">
        <v>629</v>
      </c>
      <c r="F242" s="61" t="s">
        <v>630</v>
      </c>
      <c r="G242" s="61" t="s">
        <v>21</v>
      </c>
      <c r="H242" s="73">
        <v>100</v>
      </c>
      <c r="J242" s="59">
        <v>27.05</v>
      </c>
      <c r="K242" s="59">
        <v>2705</v>
      </c>
      <c r="L242" s="74" t="s">
        <v>31</v>
      </c>
      <c r="M242" s="74" t="s">
        <v>32</v>
      </c>
      <c r="N242" s="74" t="s">
        <v>23</v>
      </c>
      <c r="O242" s="74" t="s">
        <v>32</v>
      </c>
      <c r="P242" s="59" t="s">
        <v>23</v>
      </c>
    </row>
    <row r="243" s="59" customFormat="1" spans="1:16">
      <c r="A243" s="61" t="s">
        <v>632</v>
      </c>
      <c r="B243" s="61" t="s">
        <v>17</v>
      </c>
      <c r="D243" s="59" t="s">
        <v>28</v>
      </c>
      <c r="E243" s="61" t="s">
        <v>633</v>
      </c>
      <c r="F243" s="61" t="s">
        <v>634</v>
      </c>
      <c r="G243" s="61" t="s">
        <v>21</v>
      </c>
      <c r="H243" s="73">
        <v>50</v>
      </c>
      <c r="J243" s="59">
        <v>7.285</v>
      </c>
      <c r="K243" s="59">
        <v>364.25</v>
      </c>
      <c r="L243" s="74" t="s">
        <v>31</v>
      </c>
      <c r="M243" s="74" t="s">
        <v>32</v>
      </c>
      <c r="N243" s="74" t="s">
        <v>23</v>
      </c>
      <c r="O243" s="74" t="s">
        <v>32</v>
      </c>
      <c r="P243" s="59" t="s">
        <v>23</v>
      </c>
    </row>
    <row r="244" s="59" customFormat="1" spans="1:16">
      <c r="A244" s="61" t="s">
        <v>635</v>
      </c>
      <c r="B244" s="61" t="s">
        <v>17</v>
      </c>
      <c r="D244" s="59" t="s">
        <v>18</v>
      </c>
      <c r="E244" s="61" t="s">
        <v>636</v>
      </c>
      <c r="F244" s="61" t="s">
        <v>637</v>
      </c>
      <c r="G244" s="61" t="s">
        <v>21</v>
      </c>
      <c r="H244" s="73">
        <v>196</v>
      </c>
      <c r="J244" s="59">
        <v>21.37</v>
      </c>
      <c r="K244" s="59">
        <v>4188.52</v>
      </c>
      <c r="L244" s="74" t="s">
        <v>31</v>
      </c>
      <c r="M244" s="74" t="s">
        <v>52</v>
      </c>
      <c r="N244" s="74" t="s">
        <v>23</v>
      </c>
      <c r="O244" s="74" t="s">
        <v>52</v>
      </c>
      <c r="P244" s="59" t="s">
        <v>23</v>
      </c>
    </row>
    <row r="245" s="59" customFormat="1" spans="1:16">
      <c r="A245" s="61" t="s">
        <v>638</v>
      </c>
      <c r="B245" s="61" t="s">
        <v>17</v>
      </c>
      <c r="D245" s="59" t="s">
        <v>28</v>
      </c>
      <c r="E245" s="61" t="s">
        <v>639</v>
      </c>
      <c r="F245" s="61" t="s">
        <v>640</v>
      </c>
      <c r="G245" s="61" t="s">
        <v>21</v>
      </c>
      <c r="H245" s="73">
        <v>100</v>
      </c>
      <c r="J245" s="59">
        <v>25.06</v>
      </c>
      <c r="K245" s="59">
        <v>2506</v>
      </c>
      <c r="L245" s="74" t="s">
        <v>31</v>
      </c>
      <c r="M245" s="74" t="s">
        <v>32</v>
      </c>
      <c r="N245" s="74" t="s">
        <v>23</v>
      </c>
      <c r="O245" s="74" t="s">
        <v>32</v>
      </c>
      <c r="P245" s="59" t="s">
        <v>23</v>
      </c>
    </row>
    <row r="246" s="59" customFormat="1" spans="1:16">
      <c r="A246" s="61" t="s">
        <v>641</v>
      </c>
      <c r="B246" s="61" t="s">
        <v>17</v>
      </c>
      <c r="D246" s="59" t="s">
        <v>18</v>
      </c>
      <c r="E246" s="61" t="s">
        <v>642</v>
      </c>
      <c r="F246" s="61" t="s">
        <v>643</v>
      </c>
      <c r="G246" s="61" t="s">
        <v>21</v>
      </c>
      <c r="H246" s="73">
        <v>200</v>
      </c>
      <c r="J246" s="59">
        <v>18.18</v>
      </c>
      <c r="K246" s="59">
        <v>3636</v>
      </c>
      <c r="L246" s="74" t="s">
        <v>31</v>
      </c>
      <c r="M246" s="74" t="s">
        <v>52</v>
      </c>
      <c r="N246" s="74" t="s">
        <v>23</v>
      </c>
      <c r="O246" s="74" t="s">
        <v>52</v>
      </c>
      <c r="P246" s="59" t="s">
        <v>23</v>
      </c>
    </row>
    <row r="247" s="59" customFormat="1" spans="1:16">
      <c r="A247" s="61" t="s">
        <v>644</v>
      </c>
      <c r="B247" s="61" t="s">
        <v>17</v>
      </c>
      <c r="D247" s="59" t="s">
        <v>18</v>
      </c>
      <c r="E247" s="61" t="s">
        <v>633</v>
      </c>
      <c r="F247" s="61" t="s">
        <v>634</v>
      </c>
      <c r="G247" s="61" t="s">
        <v>21</v>
      </c>
      <c r="H247" s="73">
        <v>300</v>
      </c>
      <c r="J247" s="59">
        <v>7.285</v>
      </c>
      <c r="K247" s="59">
        <v>2185.5</v>
      </c>
      <c r="L247" s="74" t="s">
        <v>31</v>
      </c>
      <c r="M247" s="74" t="s">
        <v>52</v>
      </c>
      <c r="N247" s="74" t="s">
        <v>23</v>
      </c>
      <c r="O247" s="74" t="s">
        <v>52</v>
      </c>
      <c r="P247" s="59" t="s">
        <v>23</v>
      </c>
    </row>
    <row r="248" s="59" customFormat="1" spans="1:16">
      <c r="A248" s="61" t="s">
        <v>645</v>
      </c>
      <c r="B248" s="61" t="s">
        <v>17</v>
      </c>
      <c r="D248" s="59" t="s">
        <v>28</v>
      </c>
      <c r="E248" s="61" t="s">
        <v>94</v>
      </c>
      <c r="F248" s="61" t="s">
        <v>95</v>
      </c>
      <c r="G248" s="61" t="s">
        <v>21</v>
      </c>
      <c r="H248" s="73">
        <v>250</v>
      </c>
      <c r="J248" s="59">
        <v>25.692</v>
      </c>
      <c r="K248" s="59">
        <v>6423</v>
      </c>
      <c r="L248" s="74" t="s">
        <v>31</v>
      </c>
      <c r="M248" s="74" t="s">
        <v>32</v>
      </c>
      <c r="N248" s="74" t="s">
        <v>23</v>
      </c>
      <c r="O248" s="74" t="s">
        <v>32</v>
      </c>
      <c r="P248" s="59" t="s">
        <v>23</v>
      </c>
    </row>
    <row r="249" s="59" customFormat="1" spans="1:16">
      <c r="A249" s="61" t="s">
        <v>646</v>
      </c>
      <c r="B249" s="61" t="s">
        <v>17</v>
      </c>
      <c r="D249" s="59" t="s">
        <v>28</v>
      </c>
      <c r="E249" s="61" t="s">
        <v>85</v>
      </c>
      <c r="F249" s="61" t="s">
        <v>86</v>
      </c>
      <c r="G249" s="61" t="s">
        <v>23</v>
      </c>
      <c r="H249" s="73">
        <v>372</v>
      </c>
      <c r="J249" s="59">
        <v>14.8</v>
      </c>
      <c r="K249" s="59">
        <v>5505.6</v>
      </c>
      <c r="L249" s="59" t="s">
        <v>31</v>
      </c>
      <c r="M249" s="74" t="s">
        <v>32</v>
      </c>
      <c r="N249" s="74" t="s">
        <v>23</v>
      </c>
      <c r="O249" s="74" t="s">
        <v>32</v>
      </c>
      <c r="P249" s="59" t="s">
        <v>23</v>
      </c>
    </row>
    <row r="250" s="59" customFormat="1" spans="1:16">
      <c r="A250" s="61" t="s">
        <v>647</v>
      </c>
      <c r="B250" s="61" t="s">
        <v>17</v>
      </c>
      <c r="D250" s="59" t="s">
        <v>18</v>
      </c>
      <c r="E250" s="61" t="s">
        <v>648</v>
      </c>
      <c r="F250" s="61" t="s">
        <v>649</v>
      </c>
      <c r="G250" s="61" t="s">
        <v>23</v>
      </c>
      <c r="H250" s="73">
        <v>150</v>
      </c>
      <c r="J250" s="59">
        <v>13.5</v>
      </c>
      <c r="K250" s="59">
        <v>2025</v>
      </c>
      <c r="L250" s="74" t="s">
        <v>31</v>
      </c>
      <c r="M250" s="74" t="s">
        <v>158</v>
      </c>
      <c r="N250" s="74" t="s">
        <v>23</v>
      </c>
      <c r="O250" s="74" t="s">
        <v>158</v>
      </c>
      <c r="P250" s="59" t="s">
        <v>23</v>
      </c>
    </row>
    <row r="251" s="59" customFormat="1" spans="1:16">
      <c r="A251" s="61" t="s">
        <v>650</v>
      </c>
      <c r="B251" s="61" t="s">
        <v>17</v>
      </c>
      <c r="D251" s="59" t="s">
        <v>18</v>
      </c>
      <c r="E251" s="61" t="s">
        <v>110</v>
      </c>
      <c r="F251" s="61" t="s">
        <v>111</v>
      </c>
      <c r="G251" s="61" t="s">
        <v>21</v>
      </c>
      <c r="H251" s="73">
        <v>150</v>
      </c>
      <c r="J251" s="59">
        <v>16.15</v>
      </c>
      <c r="K251" s="59">
        <v>2422.5</v>
      </c>
      <c r="L251" s="74" t="s">
        <v>31</v>
      </c>
      <c r="M251" s="74" t="s">
        <v>75</v>
      </c>
      <c r="N251" s="74" t="s">
        <v>23</v>
      </c>
      <c r="O251" s="74" t="s">
        <v>75</v>
      </c>
      <c r="P251" s="59" t="s">
        <v>23</v>
      </c>
    </row>
    <row r="252" s="59" customFormat="1" spans="1:16">
      <c r="A252" s="61" t="s">
        <v>651</v>
      </c>
      <c r="B252" s="61" t="s">
        <v>17</v>
      </c>
      <c r="D252" s="59" t="s">
        <v>28</v>
      </c>
      <c r="E252" s="61" t="s">
        <v>228</v>
      </c>
      <c r="F252" s="61" t="s">
        <v>229</v>
      </c>
      <c r="G252" s="61" t="s">
        <v>21</v>
      </c>
      <c r="H252" s="73">
        <v>200</v>
      </c>
      <c r="J252" s="59">
        <v>25.063</v>
      </c>
      <c r="K252" s="59">
        <v>5012.6</v>
      </c>
      <c r="L252" s="74" t="s">
        <v>31</v>
      </c>
      <c r="M252" s="74" t="s">
        <v>32</v>
      </c>
      <c r="N252" s="74" t="s">
        <v>23</v>
      </c>
      <c r="O252" s="74" t="s">
        <v>32</v>
      </c>
      <c r="P252" s="59" t="s">
        <v>23</v>
      </c>
    </row>
    <row r="253" s="59" customFormat="1" spans="1:16">
      <c r="A253" s="61" t="s">
        <v>652</v>
      </c>
      <c r="B253" s="61" t="s">
        <v>17</v>
      </c>
      <c r="D253" s="59" t="s">
        <v>28</v>
      </c>
      <c r="E253" s="61" t="s">
        <v>653</v>
      </c>
      <c r="F253" s="61" t="s">
        <v>654</v>
      </c>
      <c r="G253" s="61" t="s">
        <v>23</v>
      </c>
      <c r="H253" s="73">
        <v>16</v>
      </c>
      <c r="J253" s="59">
        <v>3</v>
      </c>
      <c r="K253" s="59">
        <v>48</v>
      </c>
      <c r="L253" s="74" t="s">
        <v>31</v>
      </c>
      <c r="M253" s="74" t="s">
        <v>32</v>
      </c>
      <c r="N253" s="74" t="s">
        <v>23</v>
      </c>
      <c r="O253" s="74" t="s">
        <v>32</v>
      </c>
      <c r="P253" s="59" t="s">
        <v>23</v>
      </c>
    </row>
    <row r="254" s="59" customFormat="1" spans="1:16">
      <c r="A254" s="61" t="s">
        <v>655</v>
      </c>
      <c r="B254" s="61" t="s">
        <v>17</v>
      </c>
      <c r="D254" s="59" t="s">
        <v>28</v>
      </c>
      <c r="E254" s="61" t="s">
        <v>656</v>
      </c>
      <c r="F254" s="61" t="s">
        <v>657</v>
      </c>
      <c r="G254" s="61" t="s">
        <v>23</v>
      </c>
      <c r="H254" s="73">
        <v>16</v>
      </c>
      <c r="J254" s="59">
        <v>2.5</v>
      </c>
      <c r="K254" s="59">
        <v>40</v>
      </c>
      <c r="L254" s="74" t="s">
        <v>31</v>
      </c>
      <c r="M254" s="74" t="s">
        <v>32</v>
      </c>
      <c r="N254" s="74" t="s">
        <v>23</v>
      </c>
      <c r="O254" s="74" t="s">
        <v>32</v>
      </c>
      <c r="P254" s="59" t="s">
        <v>23</v>
      </c>
    </row>
    <row r="255" s="59" customFormat="1" spans="1:16">
      <c r="A255" s="61" t="s">
        <v>658</v>
      </c>
      <c r="B255" s="61" t="s">
        <v>17</v>
      </c>
      <c r="D255" s="59" t="s">
        <v>28</v>
      </c>
      <c r="E255" s="61" t="s">
        <v>659</v>
      </c>
      <c r="F255" s="61" t="s">
        <v>660</v>
      </c>
      <c r="G255" s="61" t="s">
        <v>23</v>
      </c>
      <c r="H255" s="73">
        <v>16</v>
      </c>
      <c r="J255" s="59">
        <v>9.6</v>
      </c>
      <c r="K255" s="59">
        <v>153.6</v>
      </c>
      <c r="L255" s="74" t="s">
        <v>31</v>
      </c>
      <c r="M255" s="74" t="s">
        <v>32</v>
      </c>
      <c r="N255" s="74" t="s">
        <v>23</v>
      </c>
      <c r="O255" s="74" t="s">
        <v>32</v>
      </c>
      <c r="P255" s="59" t="s">
        <v>23</v>
      </c>
    </row>
    <row r="256" s="59" customFormat="1" spans="1:16">
      <c r="A256" s="61" t="s">
        <v>661</v>
      </c>
      <c r="B256" s="61" t="s">
        <v>17</v>
      </c>
      <c r="D256" s="59" t="s">
        <v>28</v>
      </c>
      <c r="E256" s="61" t="s">
        <v>662</v>
      </c>
      <c r="F256" s="61" t="s">
        <v>663</v>
      </c>
      <c r="G256" s="61" t="s">
        <v>23</v>
      </c>
      <c r="H256" s="73">
        <v>16</v>
      </c>
      <c r="J256" s="59">
        <v>10.4</v>
      </c>
      <c r="K256" s="59">
        <v>166.4</v>
      </c>
      <c r="L256" s="74" t="s">
        <v>31</v>
      </c>
      <c r="M256" s="74" t="s">
        <v>32</v>
      </c>
      <c r="N256" s="74" t="s">
        <v>23</v>
      </c>
      <c r="O256" s="74" t="s">
        <v>32</v>
      </c>
      <c r="P256" s="59" t="s">
        <v>23</v>
      </c>
    </row>
    <row r="257" s="59" customFormat="1" spans="1:16">
      <c r="A257" s="61" t="s">
        <v>664</v>
      </c>
      <c r="B257" s="61" t="s">
        <v>17</v>
      </c>
      <c r="D257" s="59" t="s">
        <v>28</v>
      </c>
      <c r="E257" s="61" t="s">
        <v>665</v>
      </c>
      <c r="F257" s="61" t="s">
        <v>666</v>
      </c>
      <c r="G257" s="61" t="s">
        <v>23</v>
      </c>
      <c r="H257" s="73">
        <v>16</v>
      </c>
      <c r="J257" s="59">
        <v>4</v>
      </c>
      <c r="K257" s="59">
        <v>64</v>
      </c>
      <c r="L257" s="74" t="s">
        <v>31</v>
      </c>
      <c r="M257" s="74" t="s">
        <v>32</v>
      </c>
      <c r="N257" s="74" t="s">
        <v>23</v>
      </c>
      <c r="O257" s="74" t="s">
        <v>32</v>
      </c>
      <c r="P257" s="59" t="s">
        <v>23</v>
      </c>
    </row>
    <row r="258" s="59" customFormat="1" spans="1:16">
      <c r="A258" s="61" t="s">
        <v>667</v>
      </c>
      <c r="B258" s="61" t="s">
        <v>17</v>
      </c>
      <c r="D258" s="59" t="s">
        <v>28</v>
      </c>
      <c r="E258" s="61" t="s">
        <v>495</v>
      </c>
      <c r="F258" s="61" t="s">
        <v>496</v>
      </c>
      <c r="G258" s="61" t="s">
        <v>21</v>
      </c>
      <c r="H258" s="73">
        <v>100</v>
      </c>
      <c r="J258" s="59">
        <v>16.085</v>
      </c>
      <c r="K258" s="59">
        <v>1608.5</v>
      </c>
      <c r="L258" s="74" t="s">
        <v>31</v>
      </c>
      <c r="M258" s="74" t="s">
        <v>32</v>
      </c>
      <c r="N258" s="74" t="s">
        <v>23</v>
      </c>
      <c r="O258" s="74" t="s">
        <v>32</v>
      </c>
      <c r="P258" s="59" t="s">
        <v>23</v>
      </c>
    </row>
    <row r="259" s="59" customFormat="1" spans="1:16">
      <c r="A259" s="61" t="s">
        <v>668</v>
      </c>
      <c r="B259" s="61" t="s">
        <v>49</v>
      </c>
      <c r="D259" s="59" t="s">
        <v>18</v>
      </c>
      <c r="E259" s="61" t="s">
        <v>340</v>
      </c>
      <c r="F259" s="61" t="s">
        <v>341</v>
      </c>
      <c r="G259" s="61" t="s">
        <v>21</v>
      </c>
      <c r="H259" s="73">
        <v>1000</v>
      </c>
      <c r="J259" s="59">
        <v>27.54</v>
      </c>
      <c r="K259" s="59">
        <v>27540</v>
      </c>
      <c r="L259" s="74" t="s">
        <v>31</v>
      </c>
      <c r="M259" s="74" t="s">
        <v>52</v>
      </c>
      <c r="N259" s="74" t="s">
        <v>23</v>
      </c>
      <c r="O259" s="74" t="s">
        <v>52</v>
      </c>
      <c r="P259" s="59" t="s">
        <v>21</v>
      </c>
    </row>
    <row r="260" s="59" customFormat="1" spans="1:16">
      <c r="A260" s="61" t="s">
        <v>669</v>
      </c>
      <c r="B260" s="61" t="s">
        <v>58</v>
      </c>
      <c r="D260" s="59" t="s">
        <v>18</v>
      </c>
      <c r="E260" s="61" t="s">
        <v>117</v>
      </c>
      <c r="F260" s="61" t="s">
        <v>118</v>
      </c>
      <c r="G260" s="61" t="s">
        <v>21</v>
      </c>
      <c r="H260" s="73">
        <v>1300</v>
      </c>
      <c r="J260" s="59">
        <v>17.6261</v>
      </c>
      <c r="K260" s="59">
        <v>22913.93</v>
      </c>
      <c r="L260" s="74" t="s">
        <v>31</v>
      </c>
      <c r="M260" s="74" t="s">
        <v>52</v>
      </c>
      <c r="N260" s="74" t="s">
        <v>23</v>
      </c>
      <c r="O260" s="74" t="s">
        <v>52</v>
      </c>
      <c r="P260" s="59" t="s">
        <v>21</v>
      </c>
    </row>
    <row r="261" s="59" customFormat="1" spans="1:16">
      <c r="A261" s="61" t="s">
        <v>670</v>
      </c>
      <c r="B261" s="61" t="s">
        <v>49</v>
      </c>
      <c r="D261" s="59" t="s">
        <v>18</v>
      </c>
      <c r="E261" s="61" t="s">
        <v>170</v>
      </c>
      <c r="F261" s="61" t="s">
        <v>171</v>
      </c>
      <c r="G261" s="61" t="s">
        <v>21</v>
      </c>
      <c r="H261" s="73">
        <v>1500</v>
      </c>
      <c r="J261" s="59">
        <v>26.54</v>
      </c>
      <c r="K261" s="59">
        <v>39810</v>
      </c>
      <c r="L261" s="74" t="s">
        <v>31</v>
      </c>
      <c r="M261" s="74" t="s">
        <v>52</v>
      </c>
      <c r="N261" s="74" t="s">
        <v>23</v>
      </c>
      <c r="O261" s="74" t="s">
        <v>52</v>
      </c>
      <c r="P261" s="59" t="s">
        <v>21</v>
      </c>
    </row>
    <row r="262" s="59" customFormat="1" spans="1:16">
      <c r="A262" s="61" t="s">
        <v>671</v>
      </c>
      <c r="B262" s="61" t="s">
        <v>17</v>
      </c>
      <c r="D262" s="59" t="s">
        <v>28</v>
      </c>
      <c r="E262" s="61" t="s">
        <v>672</v>
      </c>
      <c r="F262" s="61" t="s">
        <v>673</v>
      </c>
      <c r="G262" s="61" t="s">
        <v>23</v>
      </c>
      <c r="H262" s="73">
        <v>16</v>
      </c>
      <c r="J262" s="59">
        <v>3.0563</v>
      </c>
      <c r="K262" s="59">
        <v>48.9008</v>
      </c>
      <c r="L262" s="59" t="s">
        <v>31</v>
      </c>
      <c r="M262" s="74" t="s">
        <v>32</v>
      </c>
      <c r="N262" s="74" t="s">
        <v>23</v>
      </c>
      <c r="O262" s="74" t="s">
        <v>32</v>
      </c>
      <c r="P262" s="59" t="s">
        <v>23</v>
      </c>
    </row>
    <row r="263" s="59" customFormat="1" spans="1:16">
      <c r="A263" s="61" t="s">
        <v>674</v>
      </c>
      <c r="B263" s="61" t="s">
        <v>17</v>
      </c>
      <c r="D263" s="59" t="s">
        <v>28</v>
      </c>
      <c r="E263" s="61" t="s">
        <v>675</v>
      </c>
      <c r="F263" s="61" t="s">
        <v>676</v>
      </c>
      <c r="G263" s="61" t="s">
        <v>23</v>
      </c>
      <c r="H263" s="73">
        <v>16</v>
      </c>
      <c r="J263" s="59">
        <v>1.8563</v>
      </c>
      <c r="K263" s="59">
        <v>29.7008</v>
      </c>
      <c r="L263" s="59" t="s">
        <v>31</v>
      </c>
      <c r="M263" s="74" t="s">
        <v>32</v>
      </c>
      <c r="N263" s="74" t="s">
        <v>23</v>
      </c>
      <c r="O263" s="74" t="s">
        <v>32</v>
      </c>
      <c r="P263" s="59" t="s">
        <v>23</v>
      </c>
    </row>
    <row r="264" s="59" customFormat="1" spans="1:16">
      <c r="A264" s="61" t="s">
        <v>677</v>
      </c>
      <c r="B264" s="61" t="s">
        <v>17</v>
      </c>
      <c r="D264" s="59" t="s">
        <v>18</v>
      </c>
      <c r="E264" s="61" t="s">
        <v>544</v>
      </c>
      <c r="F264" s="61" t="s">
        <v>545</v>
      </c>
      <c r="G264" s="61" t="s">
        <v>21</v>
      </c>
      <c r="H264" s="73">
        <v>1000</v>
      </c>
      <c r="J264" s="59">
        <v>13.15</v>
      </c>
      <c r="K264" s="59">
        <v>13150</v>
      </c>
      <c r="L264" s="59" t="s">
        <v>31</v>
      </c>
      <c r="M264" s="74" t="s">
        <v>52</v>
      </c>
      <c r="N264" s="59" t="s">
        <v>23</v>
      </c>
      <c r="O264" s="74" t="s">
        <v>52</v>
      </c>
      <c r="P264" s="59" t="s">
        <v>23</v>
      </c>
    </row>
    <row r="265" s="59" customFormat="1" spans="1:16">
      <c r="A265" s="61" t="s">
        <v>678</v>
      </c>
      <c r="B265" s="61" t="s">
        <v>17</v>
      </c>
      <c r="D265" s="59" t="s">
        <v>18</v>
      </c>
      <c r="E265" s="61" t="s">
        <v>679</v>
      </c>
      <c r="F265" s="61" t="s">
        <v>680</v>
      </c>
      <c r="G265" s="61" t="s">
        <v>23</v>
      </c>
      <c r="H265" s="73">
        <v>49</v>
      </c>
      <c r="J265" s="59">
        <v>15.5</v>
      </c>
      <c r="K265" s="59">
        <v>759.5</v>
      </c>
      <c r="L265" s="74" t="s">
        <v>22</v>
      </c>
      <c r="M265" s="74"/>
      <c r="N265" s="74"/>
      <c r="O265" s="74"/>
      <c r="P265" s="59" t="s">
        <v>23</v>
      </c>
    </row>
    <row r="266" s="59" customFormat="1" spans="1:16">
      <c r="A266" s="61" t="s">
        <v>681</v>
      </c>
      <c r="B266" s="61" t="s">
        <v>17</v>
      </c>
      <c r="D266" s="59" t="s">
        <v>18</v>
      </c>
      <c r="E266" s="61" t="s">
        <v>682</v>
      </c>
      <c r="F266" s="61" t="s">
        <v>683</v>
      </c>
      <c r="G266" s="61" t="s">
        <v>23</v>
      </c>
      <c r="H266" s="73">
        <v>11</v>
      </c>
      <c r="J266" s="59">
        <v>14.5</v>
      </c>
      <c r="K266" s="59">
        <v>159.5</v>
      </c>
      <c r="L266" s="74" t="s">
        <v>22</v>
      </c>
      <c r="P266" s="59" t="s">
        <v>23</v>
      </c>
    </row>
    <row r="267" s="59" customFormat="1" spans="1:16">
      <c r="A267" s="61" t="s">
        <v>684</v>
      </c>
      <c r="B267" s="61" t="s">
        <v>17</v>
      </c>
      <c r="D267" s="59" t="s">
        <v>18</v>
      </c>
      <c r="E267" s="61" t="s">
        <v>685</v>
      </c>
      <c r="F267" s="61" t="s">
        <v>686</v>
      </c>
      <c r="G267" s="61" t="s">
        <v>21</v>
      </c>
      <c r="H267" s="73">
        <v>234</v>
      </c>
      <c r="J267" s="59">
        <v>14.59</v>
      </c>
      <c r="K267" s="59">
        <v>3414.06</v>
      </c>
      <c r="L267" s="59" t="s">
        <v>31</v>
      </c>
      <c r="M267" s="74" t="s">
        <v>52</v>
      </c>
      <c r="N267" s="59" t="s">
        <v>23</v>
      </c>
      <c r="O267" s="74" t="s">
        <v>52</v>
      </c>
      <c r="P267" s="59" t="s">
        <v>23</v>
      </c>
    </row>
    <row r="268" s="59" customFormat="1" spans="1:16">
      <c r="A268" s="61" t="s">
        <v>687</v>
      </c>
      <c r="B268" s="61" t="s">
        <v>17</v>
      </c>
      <c r="D268" s="59" t="s">
        <v>28</v>
      </c>
      <c r="E268" s="61" t="s">
        <v>688</v>
      </c>
      <c r="F268" s="61" t="s">
        <v>689</v>
      </c>
      <c r="G268" s="61" t="s">
        <v>23</v>
      </c>
      <c r="H268" s="73">
        <v>16</v>
      </c>
      <c r="J268" s="59">
        <v>5.6</v>
      </c>
      <c r="K268" s="59">
        <v>89.6</v>
      </c>
      <c r="L268" s="74" t="s">
        <v>31</v>
      </c>
      <c r="M268" s="74" t="s">
        <v>32</v>
      </c>
      <c r="N268" s="74" t="s">
        <v>23</v>
      </c>
      <c r="O268" s="74" t="s">
        <v>32</v>
      </c>
      <c r="P268" s="59" t="s">
        <v>23</v>
      </c>
    </row>
    <row r="269" s="59" customFormat="1" spans="1:16">
      <c r="A269" s="61" t="s">
        <v>690</v>
      </c>
      <c r="B269" s="61" t="s">
        <v>17</v>
      </c>
      <c r="D269" s="59" t="s">
        <v>28</v>
      </c>
      <c r="E269" s="61" t="s">
        <v>34</v>
      </c>
      <c r="F269" s="61" t="s">
        <v>35</v>
      </c>
      <c r="G269" s="61" t="s">
        <v>23</v>
      </c>
      <c r="H269" s="73">
        <v>150</v>
      </c>
      <c r="J269" s="59">
        <v>5.3</v>
      </c>
      <c r="K269" s="59">
        <v>795</v>
      </c>
      <c r="L269" s="59" t="s">
        <v>31</v>
      </c>
      <c r="M269" s="74" t="s">
        <v>32</v>
      </c>
      <c r="N269" s="74" t="s">
        <v>23</v>
      </c>
      <c r="O269" s="74" t="s">
        <v>32</v>
      </c>
      <c r="P269" s="59" t="s">
        <v>23</v>
      </c>
    </row>
    <row r="270" s="59" customFormat="1" spans="1:16">
      <c r="A270" s="61" t="s">
        <v>691</v>
      </c>
      <c r="B270" s="61" t="s">
        <v>17</v>
      </c>
      <c r="D270" s="59" t="s">
        <v>18</v>
      </c>
      <c r="E270" s="61" t="s">
        <v>692</v>
      </c>
      <c r="F270" s="61" t="s">
        <v>693</v>
      </c>
      <c r="G270" s="61" t="s">
        <v>21</v>
      </c>
      <c r="H270" s="73">
        <v>200</v>
      </c>
      <c r="J270" s="59">
        <v>13.095</v>
      </c>
      <c r="K270" s="59">
        <v>2619</v>
      </c>
      <c r="L270" s="74" t="s">
        <v>31</v>
      </c>
      <c r="M270" s="74" t="s">
        <v>52</v>
      </c>
      <c r="N270" s="74" t="s">
        <v>23</v>
      </c>
      <c r="O270" s="74" t="s">
        <v>52</v>
      </c>
      <c r="P270" s="59" t="s">
        <v>23</v>
      </c>
    </row>
    <row r="271" s="59" customFormat="1" spans="1:16">
      <c r="A271" s="61" t="s">
        <v>694</v>
      </c>
      <c r="B271" s="61" t="s">
        <v>17</v>
      </c>
      <c r="D271" s="59" t="s">
        <v>18</v>
      </c>
      <c r="E271" s="61" t="s">
        <v>695</v>
      </c>
      <c r="F271" s="61" t="s">
        <v>696</v>
      </c>
      <c r="G271" s="61" t="s">
        <v>23</v>
      </c>
      <c r="H271" s="73">
        <v>560</v>
      </c>
      <c r="J271" s="59">
        <v>6</v>
      </c>
      <c r="K271" s="59">
        <v>3360</v>
      </c>
      <c r="L271" s="74" t="s">
        <v>22</v>
      </c>
      <c r="P271" s="59" t="s">
        <v>23</v>
      </c>
    </row>
    <row r="272" s="59" customFormat="1" spans="1:16">
      <c r="A272" s="61" t="s">
        <v>697</v>
      </c>
      <c r="B272" s="61" t="s">
        <v>17</v>
      </c>
      <c r="D272" s="59" t="s">
        <v>28</v>
      </c>
      <c r="E272" s="61" t="s">
        <v>698</v>
      </c>
      <c r="F272" s="61" t="s">
        <v>699</v>
      </c>
      <c r="G272" s="61" t="s">
        <v>23</v>
      </c>
      <c r="H272" s="73">
        <v>16</v>
      </c>
      <c r="J272" s="59">
        <v>3.8</v>
      </c>
      <c r="K272" s="59">
        <v>60.8</v>
      </c>
      <c r="L272" s="59" t="s">
        <v>31</v>
      </c>
      <c r="M272" s="74" t="s">
        <v>32</v>
      </c>
      <c r="N272" s="74" t="s">
        <v>23</v>
      </c>
      <c r="O272" s="74" t="s">
        <v>32</v>
      </c>
      <c r="P272" s="59" t="s">
        <v>23</v>
      </c>
    </row>
    <row r="273" s="59" customFormat="1" spans="1:16">
      <c r="A273" s="61" t="s">
        <v>700</v>
      </c>
      <c r="B273" s="61" t="s">
        <v>17</v>
      </c>
      <c r="D273" s="59" t="s">
        <v>18</v>
      </c>
      <c r="E273" s="61" t="s">
        <v>314</v>
      </c>
      <c r="F273" s="61" t="s">
        <v>315</v>
      </c>
      <c r="G273" s="61" t="s">
        <v>21</v>
      </c>
      <c r="H273" s="73">
        <v>280</v>
      </c>
      <c r="J273" s="59">
        <v>30.265</v>
      </c>
      <c r="K273" s="59">
        <v>8474.2</v>
      </c>
      <c r="L273" s="74" t="s">
        <v>31</v>
      </c>
      <c r="M273" s="74" t="s">
        <v>52</v>
      </c>
      <c r="N273" s="74" t="s">
        <v>23</v>
      </c>
      <c r="O273" s="74" t="s">
        <v>52</v>
      </c>
      <c r="P273" s="59" t="s">
        <v>23</v>
      </c>
    </row>
    <row r="274" s="59" customFormat="1" spans="1:16">
      <c r="A274" s="61" t="s">
        <v>701</v>
      </c>
      <c r="B274" s="61" t="s">
        <v>17</v>
      </c>
      <c r="D274" s="59" t="s">
        <v>28</v>
      </c>
      <c r="E274" s="61" t="s">
        <v>702</v>
      </c>
      <c r="F274" s="61" t="s">
        <v>703</v>
      </c>
      <c r="G274" s="61" t="s">
        <v>23</v>
      </c>
      <c r="H274" s="73">
        <v>16</v>
      </c>
      <c r="J274" s="59">
        <v>11</v>
      </c>
      <c r="K274" s="59">
        <v>176</v>
      </c>
      <c r="L274" s="59" t="s">
        <v>31</v>
      </c>
      <c r="M274" s="74" t="s">
        <v>32</v>
      </c>
      <c r="N274" s="74" t="s">
        <v>23</v>
      </c>
      <c r="O274" s="74" t="s">
        <v>32</v>
      </c>
      <c r="P274" s="59" t="s">
        <v>23</v>
      </c>
    </row>
    <row r="275" s="59" customFormat="1" spans="1:16">
      <c r="A275" s="61" t="s">
        <v>704</v>
      </c>
      <c r="B275" s="61" t="s">
        <v>17</v>
      </c>
      <c r="D275" s="59" t="s">
        <v>18</v>
      </c>
      <c r="E275" s="61" t="s">
        <v>705</v>
      </c>
      <c r="F275" s="61" t="s">
        <v>706</v>
      </c>
      <c r="G275" s="61" t="s">
        <v>21</v>
      </c>
      <c r="H275" s="73">
        <v>200</v>
      </c>
      <c r="J275" s="59">
        <v>33.4113</v>
      </c>
      <c r="K275" s="59">
        <v>6682.26</v>
      </c>
      <c r="L275" s="59" t="s">
        <v>31</v>
      </c>
      <c r="M275" s="74" t="s">
        <v>52</v>
      </c>
      <c r="N275" s="59" t="s">
        <v>23</v>
      </c>
      <c r="O275" s="74" t="s">
        <v>52</v>
      </c>
      <c r="P275" s="59" t="s">
        <v>23</v>
      </c>
    </row>
    <row r="276" s="59" customFormat="1" spans="1:16">
      <c r="A276" s="61" t="s">
        <v>707</v>
      </c>
      <c r="B276" s="61" t="s">
        <v>17</v>
      </c>
      <c r="D276" s="59" t="s">
        <v>28</v>
      </c>
      <c r="E276" s="61" t="s">
        <v>197</v>
      </c>
      <c r="F276" s="61" t="s">
        <v>198</v>
      </c>
      <c r="G276" s="61" t="s">
        <v>23</v>
      </c>
      <c r="H276" s="73">
        <v>16</v>
      </c>
      <c r="J276" s="59">
        <v>1.71</v>
      </c>
      <c r="K276" s="59">
        <v>27.36</v>
      </c>
      <c r="L276" s="74" t="s">
        <v>31</v>
      </c>
      <c r="M276" s="74" t="s">
        <v>32</v>
      </c>
      <c r="N276" s="74" t="s">
        <v>23</v>
      </c>
      <c r="O276" s="74" t="s">
        <v>32</v>
      </c>
      <c r="P276" s="59" t="s">
        <v>23</v>
      </c>
    </row>
    <row r="277" s="59" customFormat="1" spans="1:16">
      <c r="A277" s="61" t="s">
        <v>708</v>
      </c>
      <c r="B277" s="61" t="s">
        <v>17</v>
      </c>
      <c r="D277" s="59" t="s">
        <v>18</v>
      </c>
      <c r="E277" s="61" t="s">
        <v>709</v>
      </c>
      <c r="F277" s="61" t="s">
        <v>710</v>
      </c>
      <c r="G277" s="61" t="s">
        <v>21</v>
      </c>
      <c r="H277" s="73">
        <v>528</v>
      </c>
      <c r="J277" s="59">
        <v>9.445</v>
      </c>
      <c r="K277" s="59">
        <v>4986.96</v>
      </c>
      <c r="L277" s="59" t="s">
        <v>31</v>
      </c>
      <c r="M277" s="74" t="s">
        <v>125</v>
      </c>
      <c r="N277" s="59" t="s">
        <v>23</v>
      </c>
      <c r="O277" s="74" t="s">
        <v>125</v>
      </c>
      <c r="P277" s="59" t="s">
        <v>23</v>
      </c>
    </row>
    <row r="278" s="59" customFormat="1" spans="1:16">
      <c r="A278" s="61" t="s">
        <v>711</v>
      </c>
      <c r="B278" s="61" t="s">
        <v>17</v>
      </c>
      <c r="D278" s="59" t="s">
        <v>238</v>
      </c>
      <c r="E278" s="61" t="s">
        <v>239</v>
      </c>
      <c r="F278" s="61" t="s">
        <v>240</v>
      </c>
      <c r="G278" s="61" t="s">
        <v>23</v>
      </c>
      <c r="H278" s="73">
        <v>1730</v>
      </c>
      <c r="J278" s="59">
        <v>6.2</v>
      </c>
      <c r="K278" s="59">
        <v>10726</v>
      </c>
      <c r="L278" s="74" t="s">
        <v>31</v>
      </c>
      <c r="M278" s="74" t="s">
        <v>241</v>
      </c>
      <c r="N278" s="74" t="s">
        <v>23</v>
      </c>
      <c r="O278" s="74" t="s">
        <v>241</v>
      </c>
      <c r="P278" s="59" t="s">
        <v>23</v>
      </c>
    </row>
    <row r="279" s="59" customFormat="1" spans="1:16">
      <c r="A279" s="61" t="s">
        <v>712</v>
      </c>
      <c r="B279" s="61" t="s">
        <v>17</v>
      </c>
      <c r="D279" s="59" t="s">
        <v>18</v>
      </c>
      <c r="E279" s="61" t="s">
        <v>713</v>
      </c>
      <c r="F279" s="61" t="s">
        <v>714</v>
      </c>
      <c r="G279" s="61" t="s">
        <v>21</v>
      </c>
      <c r="H279" s="73">
        <v>500</v>
      </c>
      <c r="J279" s="59">
        <v>39.826</v>
      </c>
      <c r="K279" s="59">
        <v>19913</v>
      </c>
      <c r="L279" s="74" t="s">
        <v>31</v>
      </c>
      <c r="M279" s="74" t="s">
        <v>125</v>
      </c>
      <c r="N279" s="74" t="s">
        <v>23</v>
      </c>
      <c r="O279" s="74" t="s">
        <v>125</v>
      </c>
      <c r="P279" s="59" t="s">
        <v>23</v>
      </c>
    </row>
    <row r="280" s="59" customFormat="1" spans="1:16">
      <c r="A280" s="61" t="s">
        <v>715</v>
      </c>
      <c r="B280" s="61" t="s">
        <v>17</v>
      </c>
      <c r="D280" s="59" t="s">
        <v>28</v>
      </c>
      <c r="E280" s="61" t="s">
        <v>252</v>
      </c>
      <c r="F280" s="61" t="s">
        <v>253</v>
      </c>
      <c r="G280" s="61" t="s">
        <v>23</v>
      </c>
      <c r="H280" s="73">
        <v>16</v>
      </c>
      <c r="J280" s="59">
        <v>6</v>
      </c>
      <c r="K280" s="59">
        <v>96</v>
      </c>
      <c r="L280" s="74" t="s">
        <v>31</v>
      </c>
      <c r="M280" s="74" t="s">
        <v>32</v>
      </c>
      <c r="N280" s="74" t="s">
        <v>23</v>
      </c>
      <c r="O280" s="74" t="s">
        <v>32</v>
      </c>
      <c r="P280" s="59" t="s">
        <v>23</v>
      </c>
    </row>
    <row r="281" s="59" customFormat="1" spans="1:16">
      <c r="A281" s="61" t="s">
        <v>716</v>
      </c>
      <c r="B281" s="61" t="s">
        <v>17</v>
      </c>
      <c r="D281" s="59" t="s">
        <v>18</v>
      </c>
      <c r="E281" s="61" t="s">
        <v>717</v>
      </c>
      <c r="F281" s="61" t="s">
        <v>718</v>
      </c>
      <c r="G281" s="61" t="s">
        <v>21</v>
      </c>
      <c r="H281" s="73">
        <v>200</v>
      </c>
      <c r="J281" s="59">
        <v>9.045</v>
      </c>
      <c r="K281" s="59">
        <v>1809</v>
      </c>
      <c r="L281" s="74" t="s">
        <v>22</v>
      </c>
      <c r="P281" s="59" t="s">
        <v>23</v>
      </c>
    </row>
    <row r="282" s="59" customFormat="1" spans="1:16">
      <c r="A282" s="61" t="s">
        <v>719</v>
      </c>
      <c r="B282" s="61" t="s">
        <v>17</v>
      </c>
      <c r="D282" s="59" t="s">
        <v>18</v>
      </c>
      <c r="E282" s="61" t="s">
        <v>720</v>
      </c>
      <c r="F282" s="61" t="s">
        <v>721</v>
      </c>
      <c r="G282" s="61" t="s">
        <v>21</v>
      </c>
      <c r="H282" s="73">
        <v>200</v>
      </c>
      <c r="J282" s="59">
        <v>29.19</v>
      </c>
      <c r="K282" s="59">
        <v>5838</v>
      </c>
      <c r="L282" s="74" t="s">
        <v>31</v>
      </c>
      <c r="M282" s="74" t="s">
        <v>52</v>
      </c>
      <c r="N282" s="74" t="s">
        <v>23</v>
      </c>
      <c r="O282" s="74" t="s">
        <v>52</v>
      </c>
      <c r="P282" s="59" t="s">
        <v>23</v>
      </c>
    </row>
    <row r="283" s="59" customFormat="1" spans="1:16">
      <c r="A283" s="61" t="s">
        <v>722</v>
      </c>
      <c r="B283" s="61" t="s">
        <v>17</v>
      </c>
      <c r="D283" s="59" t="s">
        <v>18</v>
      </c>
      <c r="E283" s="61" t="s">
        <v>19</v>
      </c>
      <c r="F283" s="61" t="s">
        <v>20</v>
      </c>
      <c r="G283" s="61" t="s">
        <v>21</v>
      </c>
      <c r="H283" s="73">
        <v>100</v>
      </c>
      <c r="J283" s="59">
        <v>14.001</v>
      </c>
      <c r="K283" s="59">
        <v>1400.1</v>
      </c>
      <c r="L283" s="74" t="s">
        <v>31</v>
      </c>
      <c r="M283" s="74" t="s">
        <v>284</v>
      </c>
      <c r="N283" s="74" t="s">
        <v>21</v>
      </c>
      <c r="P283" s="59" t="s">
        <v>23</v>
      </c>
    </row>
    <row r="284" s="59" customFormat="1" spans="1:16">
      <c r="A284" s="61" t="s">
        <v>723</v>
      </c>
      <c r="B284" s="61" t="s">
        <v>17</v>
      </c>
      <c r="D284" s="59" t="s">
        <v>28</v>
      </c>
      <c r="E284" s="61" t="s">
        <v>40</v>
      </c>
      <c r="F284" s="61" t="s">
        <v>41</v>
      </c>
      <c r="G284" s="61" t="s">
        <v>23</v>
      </c>
      <c r="H284" s="73">
        <v>150</v>
      </c>
      <c r="J284" s="59">
        <v>5.2</v>
      </c>
      <c r="K284" s="59">
        <v>780</v>
      </c>
      <c r="L284" s="59" t="s">
        <v>31</v>
      </c>
      <c r="M284" s="74" t="s">
        <v>32</v>
      </c>
      <c r="N284" s="74" t="s">
        <v>23</v>
      </c>
      <c r="O284" s="74" t="s">
        <v>32</v>
      </c>
      <c r="P284" s="59" t="s">
        <v>23</v>
      </c>
    </row>
    <row r="285" s="59" customFormat="1" spans="1:16">
      <c r="A285" s="61" t="s">
        <v>724</v>
      </c>
      <c r="B285" s="61" t="s">
        <v>17</v>
      </c>
      <c r="D285" s="59" t="s">
        <v>28</v>
      </c>
      <c r="E285" s="61" t="s">
        <v>43</v>
      </c>
      <c r="F285" s="61" t="s">
        <v>44</v>
      </c>
      <c r="G285" s="61" t="s">
        <v>23</v>
      </c>
      <c r="H285" s="73">
        <v>100</v>
      </c>
      <c r="J285" s="59">
        <v>5.2</v>
      </c>
      <c r="K285" s="59">
        <v>520</v>
      </c>
      <c r="L285" s="59" t="s">
        <v>31</v>
      </c>
      <c r="M285" s="74" t="s">
        <v>32</v>
      </c>
      <c r="N285" s="74" t="s">
        <v>23</v>
      </c>
      <c r="O285" s="74" t="s">
        <v>32</v>
      </c>
      <c r="P285" s="59" t="s">
        <v>23</v>
      </c>
    </row>
    <row r="286" s="59" customFormat="1" spans="1:16">
      <c r="A286" s="61" t="s">
        <v>725</v>
      </c>
      <c r="B286" s="61" t="s">
        <v>17</v>
      </c>
      <c r="D286" s="59" t="s">
        <v>28</v>
      </c>
      <c r="E286" s="61" t="s">
        <v>726</v>
      </c>
      <c r="F286" s="61" t="s">
        <v>727</v>
      </c>
      <c r="G286" s="61" t="s">
        <v>23</v>
      </c>
      <c r="H286" s="73">
        <v>100</v>
      </c>
      <c r="J286" s="59">
        <v>6.2</v>
      </c>
      <c r="K286" s="59">
        <v>620</v>
      </c>
      <c r="L286" s="59" t="s">
        <v>31</v>
      </c>
      <c r="M286" s="74" t="s">
        <v>32</v>
      </c>
      <c r="N286" s="74" t="s">
        <v>23</v>
      </c>
      <c r="O286" s="74" t="s">
        <v>32</v>
      </c>
      <c r="P286" s="59" t="s">
        <v>23</v>
      </c>
    </row>
    <row r="287" s="59" customFormat="1" spans="1:16">
      <c r="A287" s="61" t="s">
        <v>728</v>
      </c>
      <c r="B287" s="61" t="s">
        <v>17</v>
      </c>
      <c r="D287" s="59" t="s">
        <v>18</v>
      </c>
      <c r="E287" s="61" t="s">
        <v>729</v>
      </c>
      <c r="F287" s="61" t="s">
        <v>730</v>
      </c>
      <c r="G287" s="61" t="s">
        <v>21</v>
      </c>
      <c r="H287" s="73">
        <v>300</v>
      </c>
      <c r="J287" s="59">
        <v>8.96</v>
      </c>
      <c r="K287" s="59">
        <v>2688</v>
      </c>
      <c r="L287" s="74" t="s">
        <v>22</v>
      </c>
      <c r="P287" s="59" t="s">
        <v>23</v>
      </c>
    </row>
    <row r="288" s="59" customFormat="1" spans="1:16">
      <c r="A288" s="61" t="s">
        <v>731</v>
      </c>
      <c r="B288" s="61" t="s">
        <v>17</v>
      </c>
      <c r="D288" s="59" t="s">
        <v>18</v>
      </c>
      <c r="E288" s="61" t="s">
        <v>732</v>
      </c>
      <c r="F288" s="61" t="s">
        <v>733</v>
      </c>
      <c r="G288" s="61" t="s">
        <v>21</v>
      </c>
      <c r="H288" s="73">
        <v>15</v>
      </c>
      <c r="J288" s="59">
        <v>27</v>
      </c>
      <c r="K288" s="59">
        <v>405</v>
      </c>
      <c r="L288" s="74" t="s">
        <v>31</v>
      </c>
      <c r="M288" s="74" t="s">
        <v>52</v>
      </c>
      <c r="N288" s="74" t="s">
        <v>23</v>
      </c>
      <c r="O288" s="74" t="s">
        <v>52</v>
      </c>
      <c r="P288" s="59" t="s">
        <v>23</v>
      </c>
    </row>
    <row r="289" s="59" customFormat="1" spans="1:16">
      <c r="A289" s="61" t="s">
        <v>734</v>
      </c>
      <c r="B289" s="61" t="s">
        <v>17</v>
      </c>
      <c r="D289" s="59" t="s">
        <v>18</v>
      </c>
      <c r="E289" s="61" t="s">
        <v>732</v>
      </c>
      <c r="F289" s="61" t="s">
        <v>733</v>
      </c>
      <c r="G289" s="61" t="s">
        <v>21</v>
      </c>
      <c r="H289" s="73">
        <v>500</v>
      </c>
      <c r="J289" s="59">
        <v>27</v>
      </c>
      <c r="K289" s="59">
        <v>13500</v>
      </c>
      <c r="L289" s="74" t="s">
        <v>31</v>
      </c>
      <c r="M289" s="74" t="s">
        <v>52</v>
      </c>
      <c r="N289" s="74" t="s">
        <v>23</v>
      </c>
      <c r="O289" s="74" t="s">
        <v>52</v>
      </c>
      <c r="P289" s="59" t="s">
        <v>23</v>
      </c>
    </row>
    <row r="290" s="59" customFormat="1" spans="1:16">
      <c r="A290" s="61" t="s">
        <v>735</v>
      </c>
      <c r="B290" s="61" t="s">
        <v>17</v>
      </c>
      <c r="D290" s="59" t="s">
        <v>28</v>
      </c>
      <c r="E290" s="61" t="s">
        <v>736</v>
      </c>
      <c r="F290" s="61" t="s">
        <v>737</v>
      </c>
      <c r="G290" s="61" t="s">
        <v>23</v>
      </c>
      <c r="H290" s="73">
        <v>16</v>
      </c>
      <c r="J290" s="59">
        <v>6.5</v>
      </c>
      <c r="K290" s="59">
        <v>104</v>
      </c>
      <c r="L290" s="59" t="s">
        <v>31</v>
      </c>
      <c r="M290" s="74" t="s">
        <v>32</v>
      </c>
      <c r="N290" s="74" t="s">
        <v>23</v>
      </c>
      <c r="O290" s="74" t="s">
        <v>32</v>
      </c>
      <c r="P290" s="59" t="s">
        <v>23</v>
      </c>
    </row>
    <row r="291" s="59" customFormat="1" spans="1:16">
      <c r="A291" s="61" t="s">
        <v>738</v>
      </c>
      <c r="B291" s="61" t="s">
        <v>17</v>
      </c>
      <c r="D291" s="59" t="s">
        <v>28</v>
      </c>
      <c r="E291" s="61" t="s">
        <v>739</v>
      </c>
      <c r="F291" s="61" t="s">
        <v>740</v>
      </c>
      <c r="G291" s="61" t="s">
        <v>23</v>
      </c>
      <c r="H291" s="73">
        <v>16</v>
      </c>
      <c r="J291" s="59">
        <v>7.2</v>
      </c>
      <c r="K291" s="59">
        <v>115.2</v>
      </c>
      <c r="L291" s="59" t="s">
        <v>31</v>
      </c>
      <c r="M291" s="74" t="s">
        <v>32</v>
      </c>
      <c r="N291" s="74" t="s">
        <v>23</v>
      </c>
      <c r="O291" s="74" t="s">
        <v>32</v>
      </c>
      <c r="P291" s="59" t="s">
        <v>23</v>
      </c>
    </row>
    <row r="292" s="59" customFormat="1" spans="1:16">
      <c r="A292" s="61" t="s">
        <v>741</v>
      </c>
      <c r="B292" s="61" t="s">
        <v>17</v>
      </c>
      <c r="D292" s="59" t="s">
        <v>18</v>
      </c>
      <c r="E292" s="61" t="s">
        <v>742</v>
      </c>
      <c r="F292" s="61" t="s">
        <v>743</v>
      </c>
      <c r="G292" s="61" t="s">
        <v>21</v>
      </c>
      <c r="H292" s="73">
        <v>305</v>
      </c>
      <c r="J292" s="59">
        <v>11.275</v>
      </c>
      <c r="K292" s="59">
        <v>3438.875</v>
      </c>
      <c r="L292" s="74" t="s">
        <v>31</v>
      </c>
      <c r="M292" s="74" t="s">
        <v>52</v>
      </c>
      <c r="N292" s="74" t="s">
        <v>23</v>
      </c>
      <c r="O292" s="74" t="s">
        <v>52</v>
      </c>
      <c r="P292" s="59" t="s">
        <v>23</v>
      </c>
    </row>
    <row r="293" s="59" customFormat="1" spans="1:16">
      <c r="A293" s="61" t="s">
        <v>744</v>
      </c>
      <c r="B293" s="61" t="s">
        <v>17</v>
      </c>
      <c r="D293" s="59" t="s">
        <v>18</v>
      </c>
      <c r="E293" s="61" t="s">
        <v>625</v>
      </c>
      <c r="F293" s="61" t="s">
        <v>626</v>
      </c>
      <c r="G293" s="61" t="s">
        <v>21</v>
      </c>
      <c r="H293" s="73">
        <v>300</v>
      </c>
      <c r="J293" s="59">
        <v>23.8</v>
      </c>
      <c r="K293" s="59">
        <v>7140</v>
      </c>
      <c r="L293" s="74" t="s">
        <v>31</v>
      </c>
      <c r="M293" s="74" t="s">
        <v>52</v>
      </c>
      <c r="N293" s="74" t="s">
        <v>23</v>
      </c>
      <c r="O293" s="74" t="s">
        <v>52</v>
      </c>
      <c r="P293" s="59" t="s">
        <v>23</v>
      </c>
    </row>
    <row r="294" s="59" customFormat="1" spans="1:16">
      <c r="A294" s="61" t="s">
        <v>745</v>
      </c>
      <c r="B294" s="61" t="s">
        <v>17</v>
      </c>
      <c r="D294" s="59" t="s">
        <v>18</v>
      </c>
      <c r="E294" s="61" t="s">
        <v>270</v>
      </c>
      <c r="F294" s="61" t="s">
        <v>271</v>
      </c>
      <c r="G294" s="61" t="s">
        <v>23</v>
      </c>
      <c r="H294" s="73">
        <v>300</v>
      </c>
      <c r="J294" s="59">
        <v>27.9</v>
      </c>
      <c r="K294" s="59">
        <v>8370</v>
      </c>
      <c r="L294" s="74" t="s">
        <v>31</v>
      </c>
      <c r="M294" s="74" t="s">
        <v>52</v>
      </c>
      <c r="N294" s="74" t="s">
        <v>23</v>
      </c>
      <c r="O294" s="74" t="s">
        <v>52</v>
      </c>
      <c r="P294" s="59" t="s">
        <v>23</v>
      </c>
    </row>
    <row r="295" s="59" customFormat="1" spans="1:16">
      <c r="A295" s="61" t="s">
        <v>746</v>
      </c>
      <c r="B295" s="61" t="s">
        <v>17</v>
      </c>
      <c r="D295" s="59" t="s">
        <v>18</v>
      </c>
      <c r="E295" s="61" t="s">
        <v>747</v>
      </c>
      <c r="F295" s="61" t="s">
        <v>748</v>
      </c>
      <c r="G295" s="61" t="s">
        <v>21</v>
      </c>
      <c r="H295" s="73">
        <v>450</v>
      </c>
      <c r="J295" s="59">
        <v>17.9211</v>
      </c>
      <c r="K295" s="59">
        <v>8064.495</v>
      </c>
      <c r="L295" s="74" t="s">
        <v>31</v>
      </c>
      <c r="M295" s="74" t="s">
        <v>52</v>
      </c>
      <c r="N295" s="74" t="s">
        <v>23</v>
      </c>
      <c r="O295" s="74" t="s">
        <v>52</v>
      </c>
      <c r="P295" s="59" t="s">
        <v>23</v>
      </c>
    </row>
    <row r="296" s="59" customFormat="1" spans="1:16">
      <c r="A296" s="61" t="s">
        <v>749</v>
      </c>
      <c r="B296" s="61" t="s">
        <v>17</v>
      </c>
      <c r="D296" s="59" t="s">
        <v>28</v>
      </c>
      <c r="E296" s="61" t="s">
        <v>747</v>
      </c>
      <c r="F296" s="61" t="s">
        <v>748</v>
      </c>
      <c r="G296" s="61" t="s">
        <v>21</v>
      </c>
      <c r="H296" s="73">
        <v>50</v>
      </c>
      <c r="J296" s="59">
        <v>17.9211</v>
      </c>
      <c r="K296" s="59">
        <v>896.055</v>
      </c>
      <c r="L296" s="74" t="s">
        <v>31</v>
      </c>
      <c r="M296" s="74" t="s">
        <v>32</v>
      </c>
      <c r="N296" s="74" t="s">
        <v>23</v>
      </c>
      <c r="O296" s="74" t="s">
        <v>32</v>
      </c>
      <c r="P296" s="59" t="s">
        <v>23</v>
      </c>
    </row>
    <row r="297" s="59" customFormat="1" spans="1:16">
      <c r="A297" s="61" t="s">
        <v>750</v>
      </c>
      <c r="B297" s="61" t="s">
        <v>17</v>
      </c>
      <c r="D297" s="59" t="s">
        <v>28</v>
      </c>
      <c r="E297" s="61" t="s">
        <v>751</v>
      </c>
      <c r="F297" s="61" t="s">
        <v>752</v>
      </c>
      <c r="G297" s="61" t="s">
        <v>23</v>
      </c>
      <c r="H297" s="73">
        <v>16</v>
      </c>
      <c r="J297" s="59">
        <v>4.8</v>
      </c>
      <c r="K297" s="59">
        <v>76.8</v>
      </c>
      <c r="L297" s="59" t="s">
        <v>31</v>
      </c>
      <c r="M297" s="74" t="s">
        <v>32</v>
      </c>
      <c r="N297" s="74" t="s">
        <v>23</v>
      </c>
      <c r="O297" s="74" t="s">
        <v>32</v>
      </c>
      <c r="P297" s="59" t="s">
        <v>23</v>
      </c>
    </row>
    <row r="298" s="59" customFormat="1" spans="1:16">
      <c r="A298" s="61" t="s">
        <v>753</v>
      </c>
      <c r="B298" s="61" t="s">
        <v>17</v>
      </c>
      <c r="D298" s="59" t="s">
        <v>18</v>
      </c>
      <c r="E298" s="61" t="s">
        <v>754</v>
      </c>
      <c r="F298" s="61" t="s">
        <v>755</v>
      </c>
      <c r="G298" s="61" t="s">
        <v>21</v>
      </c>
      <c r="H298" s="73">
        <v>500</v>
      </c>
      <c r="J298" s="59">
        <v>23.645</v>
      </c>
      <c r="K298" s="59">
        <v>11822.5</v>
      </c>
      <c r="L298" s="74" t="s">
        <v>31</v>
      </c>
      <c r="M298" s="74" t="s">
        <v>52</v>
      </c>
      <c r="N298" s="74" t="s">
        <v>23</v>
      </c>
      <c r="O298" s="74" t="s">
        <v>52</v>
      </c>
      <c r="P298" s="59" t="s">
        <v>23</v>
      </c>
    </row>
    <row r="299" s="59" customFormat="1" spans="1:16">
      <c r="A299" s="61" t="s">
        <v>756</v>
      </c>
      <c r="B299" s="61" t="s">
        <v>17</v>
      </c>
      <c r="D299" s="59" t="s">
        <v>28</v>
      </c>
      <c r="E299" s="61" t="s">
        <v>754</v>
      </c>
      <c r="F299" s="61" t="s">
        <v>755</v>
      </c>
      <c r="G299" s="61" t="s">
        <v>21</v>
      </c>
      <c r="H299" s="73">
        <v>30</v>
      </c>
      <c r="J299" s="59">
        <v>23.645</v>
      </c>
      <c r="K299" s="59">
        <v>709.35</v>
      </c>
      <c r="L299" s="74" t="s">
        <v>31</v>
      </c>
      <c r="M299" s="74" t="s">
        <v>32</v>
      </c>
      <c r="N299" s="74" t="s">
        <v>23</v>
      </c>
      <c r="O299" s="74" t="s">
        <v>32</v>
      </c>
      <c r="P299" s="59" t="s">
        <v>23</v>
      </c>
    </row>
    <row r="300" s="59" customFormat="1" spans="1:16">
      <c r="A300" s="61" t="s">
        <v>757</v>
      </c>
      <c r="B300" s="61" t="s">
        <v>17</v>
      </c>
      <c r="D300" s="59" t="s">
        <v>18</v>
      </c>
      <c r="E300" s="61" t="s">
        <v>692</v>
      </c>
      <c r="F300" s="61" t="s">
        <v>693</v>
      </c>
      <c r="G300" s="61" t="s">
        <v>21</v>
      </c>
      <c r="H300" s="73">
        <v>300</v>
      </c>
      <c r="J300" s="59">
        <v>13.095</v>
      </c>
      <c r="K300" s="59">
        <v>3928.5</v>
      </c>
      <c r="L300" s="74" t="s">
        <v>31</v>
      </c>
      <c r="M300" s="74" t="s">
        <v>52</v>
      </c>
      <c r="N300" s="74" t="s">
        <v>23</v>
      </c>
      <c r="O300" s="74" t="s">
        <v>52</v>
      </c>
      <c r="P300" s="59" t="s">
        <v>23</v>
      </c>
    </row>
    <row r="301" s="59" customFormat="1" spans="1:16">
      <c r="A301" s="61" t="s">
        <v>758</v>
      </c>
      <c r="B301" s="61" t="s">
        <v>17</v>
      </c>
      <c r="D301" s="59" t="s">
        <v>18</v>
      </c>
      <c r="E301" s="61" t="s">
        <v>759</v>
      </c>
      <c r="F301" s="61" t="s">
        <v>760</v>
      </c>
      <c r="G301" s="61" t="s">
        <v>21</v>
      </c>
      <c r="H301" s="73">
        <v>2000</v>
      </c>
      <c r="J301" s="59">
        <v>25.73</v>
      </c>
      <c r="K301" s="59">
        <v>51460</v>
      </c>
      <c r="L301" s="59" t="s">
        <v>31</v>
      </c>
      <c r="M301" s="74" t="s">
        <v>52</v>
      </c>
      <c r="N301" s="59" t="s">
        <v>23</v>
      </c>
      <c r="O301" s="74" t="s">
        <v>52</v>
      </c>
      <c r="P301" s="59" t="s">
        <v>21</v>
      </c>
    </row>
    <row r="302" s="59" customFormat="1" spans="1:16">
      <c r="A302" s="61" t="s">
        <v>761</v>
      </c>
      <c r="B302" s="61" t="s">
        <v>17</v>
      </c>
      <c r="D302" s="59" t="s">
        <v>18</v>
      </c>
      <c r="E302" s="61" t="s">
        <v>762</v>
      </c>
      <c r="F302" s="61" t="s">
        <v>763</v>
      </c>
      <c r="G302" s="61" t="s">
        <v>21</v>
      </c>
      <c r="H302" s="73">
        <v>400</v>
      </c>
      <c r="J302" s="59">
        <v>26.4206</v>
      </c>
      <c r="K302" s="59">
        <v>10568.24</v>
      </c>
      <c r="L302" s="74" t="s">
        <v>31</v>
      </c>
      <c r="M302" s="74" t="s">
        <v>75</v>
      </c>
      <c r="N302" s="74" t="s">
        <v>23</v>
      </c>
      <c r="O302" s="74" t="s">
        <v>75</v>
      </c>
      <c r="P302" s="59" t="s">
        <v>23</v>
      </c>
    </row>
    <row r="303" s="59" customFormat="1" spans="1:16">
      <c r="A303" s="61" t="s">
        <v>764</v>
      </c>
      <c r="B303" s="61" t="s">
        <v>17</v>
      </c>
      <c r="D303" s="59" t="s">
        <v>28</v>
      </c>
      <c r="E303" s="61" t="s">
        <v>765</v>
      </c>
      <c r="F303" s="61" t="s">
        <v>766</v>
      </c>
      <c r="G303" s="61" t="s">
        <v>23</v>
      </c>
      <c r="H303" s="73">
        <v>16</v>
      </c>
      <c r="J303" s="59">
        <v>2</v>
      </c>
      <c r="K303" s="59">
        <v>32</v>
      </c>
      <c r="L303" s="74" t="s">
        <v>31</v>
      </c>
      <c r="M303" s="74" t="s">
        <v>32</v>
      </c>
      <c r="N303" s="74" t="s">
        <v>23</v>
      </c>
      <c r="O303" s="74" t="s">
        <v>32</v>
      </c>
      <c r="P303" s="59" t="s">
        <v>23</v>
      </c>
    </row>
    <row r="304" s="59" customFormat="1" spans="1:16">
      <c r="A304" s="61" t="s">
        <v>767</v>
      </c>
      <c r="B304" s="61" t="s">
        <v>17</v>
      </c>
      <c r="D304" s="59" t="s">
        <v>28</v>
      </c>
      <c r="E304" s="61" t="s">
        <v>768</v>
      </c>
      <c r="F304" s="61" t="s">
        <v>769</v>
      </c>
      <c r="G304" s="61" t="s">
        <v>21</v>
      </c>
      <c r="H304" s="73">
        <v>30</v>
      </c>
      <c r="J304" s="59">
        <v>17.335</v>
      </c>
      <c r="K304" s="59">
        <v>520.05</v>
      </c>
      <c r="L304" s="74" t="s">
        <v>31</v>
      </c>
      <c r="M304" s="74" t="s">
        <v>32</v>
      </c>
      <c r="N304" s="74" t="s">
        <v>23</v>
      </c>
      <c r="O304" s="74" t="s">
        <v>32</v>
      </c>
      <c r="P304" s="59" t="s">
        <v>23</v>
      </c>
    </row>
    <row r="305" s="59" customFormat="1" spans="1:16">
      <c r="A305" s="61" t="s">
        <v>770</v>
      </c>
      <c r="B305" s="61" t="s">
        <v>17</v>
      </c>
      <c r="D305" s="59" t="s">
        <v>18</v>
      </c>
      <c r="E305" s="61" t="s">
        <v>771</v>
      </c>
      <c r="F305" s="61" t="s">
        <v>772</v>
      </c>
      <c r="G305" s="61" t="s">
        <v>23</v>
      </c>
      <c r="H305" s="73">
        <v>250</v>
      </c>
      <c r="J305" s="59">
        <v>8</v>
      </c>
      <c r="K305" s="59">
        <v>2000</v>
      </c>
      <c r="L305" s="74" t="s">
        <v>31</v>
      </c>
      <c r="M305" s="74" t="s">
        <v>75</v>
      </c>
      <c r="N305" s="74" t="s">
        <v>23</v>
      </c>
      <c r="O305" s="74" t="s">
        <v>75</v>
      </c>
      <c r="P305" s="59" t="s">
        <v>23</v>
      </c>
    </row>
    <row r="306" s="59" customFormat="1" spans="1:16">
      <c r="A306" s="61" t="s">
        <v>773</v>
      </c>
      <c r="B306" s="61" t="s">
        <v>17</v>
      </c>
      <c r="D306" s="59" t="s">
        <v>18</v>
      </c>
      <c r="E306" s="61" t="s">
        <v>225</v>
      </c>
      <c r="F306" s="61" t="s">
        <v>226</v>
      </c>
      <c r="G306" s="61" t="s">
        <v>23</v>
      </c>
      <c r="H306" s="73">
        <v>800</v>
      </c>
      <c r="J306" s="59">
        <v>9.3</v>
      </c>
      <c r="K306" s="59">
        <v>7440</v>
      </c>
      <c r="L306" s="74" t="s">
        <v>22</v>
      </c>
      <c r="P306" s="59" t="s">
        <v>23</v>
      </c>
    </row>
    <row r="307" s="59" customFormat="1" spans="1:16">
      <c r="A307" s="61" t="s">
        <v>774</v>
      </c>
      <c r="B307" s="61" t="s">
        <v>17</v>
      </c>
      <c r="D307" s="59" t="s">
        <v>28</v>
      </c>
      <c r="E307" s="61" t="s">
        <v>775</v>
      </c>
      <c r="F307" s="61" t="s">
        <v>776</v>
      </c>
      <c r="G307" s="61" t="s">
        <v>21</v>
      </c>
      <c r="H307" s="73">
        <v>30</v>
      </c>
      <c r="J307" s="59">
        <v>18.44</v>
      </c>
      <c r="K307" s="59">
        <v>553.2</v>
      </c>
      <c r="L307" s="74" t="s">
        <v>31</v>
      </c>
      <c r="M307" s="74" t="s">
        <v>32</v>
      </c>
      <c r="N307" s="74" t="s">
        <v>23</v>
      </c>
      <c r="O307" s="74" t="s">
        <v>32</v>
      </c>
      <c r="P307" s="59" t="s">
        <v>23</v>
      </c>
    </row>
    <row r="308" s="59" customFormat="1" spans="1:16">
      <c r="A308" s="61" t="s">
        <v>777</v>
      </c>
      <c r="B308" s="61" t="s">
        <v>17</v>
      </c>
      <c r="D308" s="59" t="s">
        <v>18</v>
      </c>
      <c r="E308" s="61" t="s">
        <v>775</v>
      </c>
      <c r="F308" s="61" t="s">
        <v>776</v>
      </c>
      <c r="G308" s="61" t="s">
        <v>21</v>
      </c>
      <c r="H308" s="73">
        <v>200</v>
      </c>
      <c r="J308" s="59">
        <v>18.44</v>
      </c>
      <c r="K308" s="59">
        <v>3688</v>
      </c>
      <c r="L308" s="74" t="s">
        <v>31</v>
      </c>
      <c r="M308" s="74" t="s">
        <v>75</v>
      </c>
      <c r="N308" s="74" t="s">
        <v>23</v>
      </c>
      <c r="O308" s="74" t="s">
        <v>75</v>
      </c>
      <c r="P308" s="59" t="s">
        <v>23</v>
      </c>
    </row>
    <row r="309" s="59" customFormat="1" spans="1:16">
      <c r="A309" s="61" t="s">
        <v>778</v>
      </c>
      <c r="B309" s="61" t="s">
        <v>17</v>
      </c>
      <c r="D309" s="59" t="s">
        <v>18</v>
      </c>
      <c r="E309" s="61" t="s">
        <v>779</v>
      </c>
      <c r="F309" s="61" t="s">
        <v>780</v>
      </c>
      <c r="G309" s="61" t="s">
        <v>21</v>
      </c>
      <c r="H309" s="73">
        <v>630</v>
      </c>
      <c r="J309" s="59">
        <v>12.06</v>
      </c>
      <c r="K309" s="59">
        <v>7597.8</v>
      </c>
      <c r="L309" s="59" t="s">
        <v>31</v>
      </c>
      <c r="M309" s="74" t="s">
        <v>52</v>
      </c>
      <c r="N309" s="59" t="s">
        <v>23</v>
      </c>
      <c r="O309" s="74" t="s">
        <v>52</v>
      </c>
      <c r="P309" s="59" t="s">
        <v>21</v>
      </c>
    </row>
    <row r="310" s="59" customFormat="1" spans="1:16">
      <c r="A310" s="61" t="s">
        <v>781</v>
      </c>
      <c r="B310" s="61" t="s">
        <v>17</v>
      </c>
      <c r="D310" s="59" t="s">
        <v>18</v>
      </c>
      <c r="E310" s="61" t="s">
        <v>110</v>
      </c>
      <c r="F310" s="61" t="s">
        <v>111</v>
      </c>
      <c r="G310" s="61" t="s">
        <v>21</v>
      </c>
      <c r="H310" s="73">
        <v>200</v>
      </c>
      <c r="J310" s="59">
        <v>16.15</v>
      </c>
      <c r="K310" s="59">
        <v>3230</v>
      </c>
      <c r="L310" s="74" t="s">
        <v>31</v>
      </c>
      <c r="M310" s="74" t="s">
        <v>75</v>
      </c>
      <c r="N310" s="74" t="s">
        <v>23</v>
      </c>
      <c r="O310" s="74" t="s">
        <v>75</v>
      </c>
      <c r="P310" s="59" t="s">
        <v>23</v>
      </c>
    </row>
    <row r="311" s="59" customFormat="1" spans="1:16">
      <c r="A311" s="61" t="s">
        <v>782</v>
      </c>
      <c r="B311" s="61" t="s">
        <v>17</v>
      </c>
      <c r="D311" s="59" t="s">
        <v>18</v>
      </c>
      <c r="E311" s="61" t="s">
        <v>783</v>
      </c>
      <c r="F311" s="61" t="s">
        <v>784</v>
      </c>
      <c r="G311" s="61" t="s">
        <v>21</v>
      </c>
      <c r="H311" s="73">
        <v>500</v>
      </c>
      <c r="J311" s="59">
        <v>18.521</v>
      </c>
      <c r="K311" s="59">
        <v>9260.5</v>
      </c>
      <c r="L311" s="74" t="s">
        <v>31</v>
      </c>
      <c r="M311" s="74" t="s">
        <v>75</v>
      </c>
      <c r="N311" s="74" t="s">
        <v>23</v>
      </c>
      <c r="O311" s="74" t="s">
        <v>75</v>
      </c>
      <c r="P311" s="59" t="s">
        <v>21</v>
      </c>
    </row>
    <row r="312" s="59" customFormat="1" spans="1:16">
      <c r="A312" s="61" t="s">
        <v>785</v>
      </c>
      <c r="B312" s="61" t="s">
        <v>17</v>
      </c>
      <c r="D312" s="59" t="s">
        <v>18</v>
      </c>
      <c r="E312" s="61" t="s">
        <v>786</v>
      </c>
      <c r="F312" s="61" t="s">
        <v>787</v>
      </c>
      <c r="G312" s="61" t="s">
        <v>21</v>
      </c>
      <c r="H312" s="73">
        <v>100</v>
      </c>
      <c r="J312" s="59">
        <v>21.195</v>
      </c>
      <c r="K312" s="59">
        <v>2119.5</v>
      </c>
      <c r="L312" s="74" t="s">
        <v>31</v>
      </c>
      <c r="M312" s="74" t="s">
        <v>75</v>
      </c>
      <c r="N312" s="74" t="s">
        <v>23</v>
      </c>
      <c r="O312" s="74" t="s">
        <v>75</v>
      </c>
      <c r="P312" s="59" t="s">
        <v>23</v>
      </c>
    </row>
    <row r="313" s="59" customFormat="1" spans="1:16">
      <c r="A313" s="61" t="s">
        <v>788</v>
      </c>
      <c r="B313" s="61" t="s">
        <v>17</v>
      </c>
      <c r="D313" s="59" t="s">
        <v>18</v>
      </c>
      <c r="E313" s="61" t="s">
        <v>789</v>
      </c>
      <c r="F313" s="61" t="s">
        <v>790</v>
      </c>
      <c r="G313" s="61" t="s">
        <v>23</v>
      </c>
      <c r="H313" s="73">
        <v>250</v>
      </c>
      <c r="J313" s="59">
        <v>18.5</v>
      </c>
      <c r="K313" s="59">
        <v>4625</v>
      </c>
      <c r="L313" s="74" t="s">
        <v>31</v>
      </c>
      <c r="M313" s="74" t="s">
        <v>158</v>
      </c>
      <c r="N313" s="59" t="s">
        <v>23</v>
      </c>
      <c r="O313" s="74" t="s">
        <v>158</v>
      </c>
      <c r="P313" s="59" t="s">
        <v>23</v>
      </c>
    </row>
    <row r="314" s="59" customFormat="1" spans="1:16">
      <c r="A314" s="61" t="s">
        <v>791</v>
      </c>
      <c r="B314" s="61" t="s">
        <v>17</v>
      </c>
      <c r="D314" s="59" t="s">
        <v>18</v>
      </c>
      <c r="E314" s="61" t="s">
        <v>264</v>
      </c>
      <c r="F314" s="61" t="s">
        <v>265</v>
      </c>
      <c r="G314" s="61" t="s">
        <v>21</v>
      </c>
      <c r="H314" s="73">
        <v>540</v>
      </c>
      <c r="J314" s="59">
        <v>17.85</v>
      </c>
      <c r="K314" s="59">
        <v>9639</v>
      </c>
      <c r="L314" s="74" t="s">
        <v>31</v>
      </c>
      <c r="M314" s="74" t="s">
        <v>52</v>
      </c>
      <c r="N314" s="74" t="s">
        <v>23</v>
      </c>
      <c r="O314" s="74" t="s">
        <v>52</v>
      </c>
      <c r="P314" s="59" t="s">
        <v>23</v>
      </c>
    </row>
    <row r="315" s="59" customFormat="1" ht="16.8" customHeight="1" spans="1:16">
      <c r="A315" s="61" t="s">
        <v>792</v>
      </c>
      <c r="B315" s="61" t="s">
        <v>17</v>
      </c>
      <c r="D315" s="59" t="s">
        <v>28</v>
      </c>
      <c r="E315" s="61" t="s">
        <v>789</v>
      </c>
      <c r="F315" s="61" t="s">
        <v>790</v>
      </c>
      <c r="G315" s="61" t="s">
        <v>23</v>
      </c>
      <c r="H315" s="73">
        <v>30</v>
      </c>
      <c r="J315" s="59">
        <v>18.5</v>
      </c>
      <c r="K315" s="59">
        <v>555</v>
      </c>
      <c r="L315" s="59" t="s">
        <v>31</v>
      </c>
      <c r="M315" s="74" t="s">
        <v>32</v>
      </c>
      <c r="N315" s="74" t="s">
        <v>23</v>
      </c>
      <c r="O315" s="74" t="s">
        <v>32</v>
      </c>
      <c r="P315" s="59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3"/>
  <sheetViews>
    <sheetView zoomScale="85" zoomScaleNormal="85" workbookViewId="0">
      <pane ySplit="1" topLeftCell="A2" activePane="bottomLeft" state="frozen"/>
      <selection/>
      <selection pane="bottomLeft" activeCell="C15" sqref="C15"/>
    </sheetView>
  </sheetViews>
  <sheetFormatPr defaultColWidth="9" defaultRowHeight="13.5"/>
  <cols>
    <col min="1" max="1" width="13.5" style="61" customWidth="1"/>
    <col min="2" max="2" width="9.25" style="61" customWidth="1"/>
    <col min="3" max="3" width="16.75" style="61" customWidth="1"/>
    <col min="4" max="4" width="11.5" style="61" customWidth="1"/>
    <col min="5" max="5" width="42" style="61" customWidth="1"/>
    <col min="6" max="6" width="5.5" style="61" customWidth="1"/>
    <col min="7" max="7" width="15.75" style="61" customWidth="1"/>
    <col min="8" max="8" width="11.375" style="61" customWidth="1"/>
    <col min="9" max="9" width="14.375" style="61" customWidth="1"/>
    <col min="10" max="12" width="9" style="59" customWidth="1"/>
    <col min="13" max="13" width="17.625" style="59" customWidth="1"/>
    <col min="14" max="14" width="21.875" style="59" customWidth="1"/>
    <col min="15" max="15" width="15.625" style="59" customWidth="1"/>
    <col min="16" max="16384" width="9" style="59" customWidth="1"/>
  </cols>
  <sheetData>
    <row r="1" s="59" customFormat="1" ht="15" customHeight="1" spans="1:16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</row>
    <row r="2" spans="1:16">
      <c r="A2" s="64" t="s">
        <v>793</v>
      </c>
      <c r="B2" s="64" t="s">
        <v>17</v>
      </c>
      <c r="C2" s="64" t="s">
        <v>794</v>
      </c>
      <c r="D2" s="64" t="s">
        <v>28</v>
      </c>
      <c r="E2" s="64" t="s">
        <v>795</v>
      </c>
      <c r="F2" s="64" t="s">
        <v>796</v>
      </c>
      <c r="G2" s="64" t="s">
        <v>21</v>
      </c>
      <c r="H2" s="65">
        <v>30</v>
      </c>
      <c r="I2" s="66"/>
      <c r="J2" s="67" t="s">
        <v>797</v>
      </c>
      <c r="K2" s="67">
        <v>834.6</v>
      </c>
      <c r="L2" s="68" t="s">
        <v>31</v>
      </c>
      <c r="M2" s="68" t="s">
        <v>32</v>
      </c>
      <c r="N2" s="68" t="s">
        <v>23</v>
      </c>
      <c r="O2" s="68" t="s">
        <v>32</v>
      </c>
      <c r="P2" s="68" t="s">
        <v>23</v>
      </c>
    </row>
    <row r="3" spans="1:16">
      <c r="A3" s="64" t="s">
        <v>798</v>
      </c>
      <c r="B3" s="64" t="s">
        <v>17</v>
      </c>
      <c r="C3" s="64" t="s">
        <v>794</v>
      </c>
      <c r="D3" s="64" t="s">
        <v>28</v>
      </c>
      <c r="E3" s="64" t="s">
        <v>799</v>
      </c>
      <c r="F3" s="64" t="s">
        <v>800</v>
      </c>
      <c r="G3" s="64" t="s">
        <v>21</v>
      </c>
      <c r="H3" s="65">
        <v>30</v>
      </c>
      <c r="I3" s="66"/>
      <c r="J3" s="67" t="s">
        <v>801</v>
      </c>
      <c r="K3" s="67">
        <v>894.444</v>
      </c>
      <c r="L3" s="68" t="s">
        <v>31</v>
      </c>
      <c r="M3" s="68" t="s">
        <v>32</v>
      </c>
      <c r="N3" s="68" t="s">
        <v>23</v>
      </c>
      <c r="O3" s="68" t="s">
        <v>32</v>
      </c>
      <c r="P3" s="68" t="s">
        <v>23</v>
      </c>
    </row>
    <row r="4" s="59" customFormat="1" spans="1:16">
      <c r="A4" s="66" t="s">
        <v>802</v>
      </c>
      <c r="B4" s="66" t="s">
        <v>17</v>
      </c>
      <c r="C4" s="66" t="s">
        <v>803</v>
      </c>
      <c r="D4" s="67" t="s">
        <v>18</v>
      </c>
      <c r="E4" s="66" t="s">
        <v>799</v>
      </c>
      <c r="F4" s="66" t="s">
        <v>800</v>
      </c>
      <c r="G4" s="66" t="s">
        <v>21</v>
      </c>
      <c r="H4" s="65">
        <v>300</v>
      </c>
      <c r="I4" s="69" t="s">
        <v>804</v>
      </c>
      <c r="J4" s="67" t="s">
        <v>801</v>
      </c>
      <c r="K4" s="67">
        <v>8944.44</v>
      </c>
      <c r="L4" s="69" t="s">
        <v>31</v>
      </c>
      <c r="M4" s="69" t="s">
        <v>52</v>
      </c>
      <c r="N4" s="67"/>
      <c r="O4" s="69" t="s">
        <v>52</v>
      </c>
      <c r="P4" s="69" t="s">
        <v>23</v>
      </c>
    </row>
    <row r="5" s="59" customFormat="1" spans="1:16">
      <c r="A5" s="66" t="s">
        <v>805</v>
      </c>
      <c r="B5" s="66" t="s">
        <v>17</v>
      </c>
      <c r="C5" s="66" t="s">
        <v>803</v>
      </c>
      <c r="D5" s="67" t="s">
        <v>18</v>
      </c>
      <c r="E5" s="66" t="s">
        <v>795</v>
      </c>
      <c r="F5" s="66" t="s">
        <v>796</v>
      </c>
      <c r="G5" s="66" t="s">
        <v>21</v>
      </c>
      <c r="H5" s="65">
        <v>300</v>
      </c>
      <c r="I5" s="69" t="s">
        <v>804</v>
      </c>
      <c r="J5" s="67" t="s">
        <v>797</v>
      </c>
      <c r="K5" s="67">
        <v>8346</v>
      </c>
      <c r="L5" s="69" t="s">
        <v>31</v>
      </c>
      <c r="M5" s="69" t="s">
        <v>52</v>
      </c>
      <c r="N5" s="67"/>
      <c r="O5" s="69" t="s">
        <v>52</v>
      </c>
      <c r="P5" s="69" t="s">
        <v>23</v>
      </c>
    </row>
    <row r="6" spans="1:16">
      <c r="A6" s="64" t="s">
        <v>806</v>
      </c>
      <c r="B6" s="64" t="s">
        <v>17</v>
      </c>
      <c r="C6" s="64" t="s">
        <v>794</v>
      </c>
      <c r="D6" s="64" t="s">
        <v>28</v>
      </c>
      <c r="E6" s="64" t="s">
        <v>807</v>
      </c>
      <c r="F6" s="64" t="s">
        <v>808</v>
      </c>
      <c r="G6" s="64" t="s">
        <v>21</v>
      </c>
      <c r="H6" s="65">
        <v>150</v>
      </c>
      <c r="I6" s="66" t="s">
        <v>809</v>
      </c>
      <c r="J6" s="67" t="s">
        <v>810</v>
      </c>
      <c r="K6" s="67">
        <v>2529.75</v>
      </c>
      <c r="L6" s="68" t="s">
        <v>31</v>
      </c>
      <c r="M6" s="68" t="s">
        <v>32</v>
      </c>
      <c r="N6" s="68" t="s">
        <v>23</v>
      </c>
      <c r="O6" s="68" t="s">
        <v>32</v>
      </c>
      <c r="P6" s="68" t="s">
        <v>23</v>
      </c>
    </row>
    <row r="7" s="59" customFormat="1" spans="1:16">
      <c r="A7" s="66" t="s">
        <v>811</v>
      </c>
      <c r="B7" s="66" t="s">
        <v>17</v>
      </c>
      <c r="C7" s="66" t="s">
        <v>812</v>
      </c>
      <c r="D7" s="67" t="s">
        <v>18</v>
      </c>
      <c r="E7" s="66" t="s">
        <v>813</v>
      </c>
      <c r="F7" s="66" t="s">
        <v>814</v>
      </c>
      <c r="G7" s="66" t="s">
        <v>21</v>
      </c>
      <c r="H7" s="65">
        <v>250</v>
      </c>
      <c r="I7" s="66"/>
      <c r="J7" s="67" t="s">
        <v>815</v>
      </c>
      <c r="K7" s="67">
        <v>6111.25</v>
      </c>
      <c r="L7" s="69" t="s">
        <v>31</v>
      </c>
      <c r="M7" s="69" t="s">
        <v>75</v>
      </c>
      <c r="N7" s="69" t="s">
        <v>23</v>
      </c>
      <c r="O7" s="69" t="s">
        <v>75</v>
      </c>
      <c r="P7" s="69" t="s">
        <v>21</v>
      </c>
    </row>
    <row r="8" s="59" customFormat="1" spans="1:16">
      <c r="A8" s="66" t="s">
        <v>816</v>
      </c>
      <c r="B8" s="66" t="s">
        <v>17</v>
      </c>
      <c r="C8" s="66" t="s">
        <v>812</v>
      </c>
      <c r="D8" s="67" t="s">
        <v>18</v>
      </c>
      <c r="E8" s="66" t="s">
        <v>817</v>
      </c>
      <c r="F8" s="66" t="s">
        <v>818</v>
      </c>
      <c r="G8" s="66" t="s">
        <v>23</v>
      </c>
      <c r="H8" s="65">
        <v>300</v>
      </c>
      <c r="I8" s="66"/>
      <c r="J8" s="67" t="s">
        <v>819</v>
      </c>
      <c r="K8" s="67">
        <v>3450</v>
      </c>
      <c r="L8" s="67" t="s">
        <v>22</v>
      </c>
      <c r="M8" s="67"/>
      <c r="N8" s="67"/>
      <c r="O8" s="67"/>
      <c r="P8" s="69" t="s">
        <v>21</v>
      </c>
    </row>
    <row r="9" spans="1:16">
      <c r="A9" s="64" t="s">
        <v>820</v>
      </c>
      <c r="B9" s="64" t="s">
        <v>17</v>
      </c>
      <c r="C9" s="64" t="s">
        <v>794</v>
      </c>
      <c r="D9" s="64" t="s">
        <v>28</v>
      </c>
      <c r="E9" s="64" t="s">
        <v>821</v>
      </c>
      <c r="F9" s="64" t="s">
        <v>822</v>
      </c>
      <c r="G9" s="64" t="s">
        <v>21</v>
      </c>
      <c r="H9" s="65">
        <v>50</v>
      </c>
      <c r="I9" s="66"/>
      <c r="J9" s="67" t="s">
        <v>823</v>
      </c>
      <c r="K9" s="67">
        <v>976.75</v>
      </c>
      <c r="L9" s="68" t="s">
        <v>31</v>
      </c>
      <c r="M9" s="68" t="s">
        <v>32</v>
      </c>
      <c r="N9" s="68" t="s">
        <v>23</v>
      </c>
      <c r="O9" s="68" t="s">
        <v>32</v>
      </c>
      <c r="P9" s="68" t="s">
        <v>23</v>
      </c>
    </row>
    <row r="10" spans="1:16">
      <c r="A10" s="64" t="s">
        <v>824</v>
      </c>
      <c r="B10" s="64" t="s">
        <v>17</v>
      </c>
      <c r="C10" s="64" t="s">
        <v>794</v>
      </c>
      <c r="D10" s="64" t="s">
        <v>28</v>
      </c>
      <c r="E10" s="64" t="s">
        <v>825</v>
      </c>
      <c r="F10" s="64" t="s">
        <v>826</v>
      </c>
      <c r="G10" s="64" t="s">
        <v>21</v>
      </c>
      <c r="H10" s="65">
        <v>50</v>
      </c>
      <c r="I10" s="66"/>
      <c r="J10" s="67" t="s">
        <v>823</v>
      </c>
      <c r="K10" s="67">
        <v>976.75</v>
      </c>
      <c r="L10" s="68" t="s">
        <v>31</v>
      </c>
      <c r="M10" s="68" t="s">
        <v>32</v>
      </c>
      <c r="N10" s="68" t="s">
        <v>23</v>
      </c>
      <c r="O10" s="68" t="s">
        <v>32</v>
      </c>
      <c r="P10" s="68" t="s">
        <v>23</v>
      </c>
    </row>
    <row r="11" s="59" customFormat="1" spans="1:16">
      <c r="A11" s="66" t="s">
        <v>827</v>
      </c>
      <c r="B11" s="66" t="s">
        <v>17</v>
      </c>
      <c r="C11" s="66" t="s">
        <v>812</v>
      </c>
      <c r="D11" s="67" t="s">
        <v>18</v>
      </c>
      <c r="E11" s="66" t="s">
        <v>828</v>
      </c>
      <c r="F11" s="66" t="s">
        <v>829</v>
      </c>
      <c r="G11" s="66" t="s">
        <v>21</v>
      </c>
      <c r="H11" s="65">
        <v>360</v>
      </c>
      <c r="I11" s="66" t="s">
        <v>809</v>
      </c>
      <c r="J11" s="67" t="s">
        <v>830</v>
      </c>
      <c r="K11" s="67">
        <v>2860.2</v>
      </c>
      <c r="L11" s="69" t="s">
        <v>22</v>
      </c>
      <c r="M11" s="67"/>
      <c r="N11" s="67"/>
      <c r="O11" s="67"/>
      <c r="P11" s="69" t="s">
        <v>21</v>
      </c>
    </row>
    <row r="12" s="59" customFormat="1" spans="1:16">
      <c r="A12" s="66" t="s">
        <v>831</v>
      </c>
      <c r="B12" s="66" t="s">
        <v>58</v>
      </c>
      <c r="C12" s="66" t="s">
        <v>812</v>
      </c>
      <c r="D12" s="67" t="s">
        <v>18</v>
      </c>
      <c r="E12" s="66" t="s">
        <v>832</v>
      </c>
      <c r="F12" s="66" t="s">
        <v>833</v>
      </c>
      <c r="G12" s="66" t="s">
        <v>23</v>
      </c>
      <c r="H12" s="65">
        <v>100</v>
      </c>
      <c r="I12" s="66"/>
      <c r="J12" s="67" t="s">
        <v>834</v>
      </c>
      <c r="K12" s="67">
        <v>3180</v>
      </c>
      <c r="L12" s="69" t="s">
        <v>22</v>
      </c>
      <c r="M12" s="67"/>
      <c r="N12" s="67"/>
      <c r="O12" s="67"/>
      <c r="P12" s="69" t="s">
        <v>21</v>
      </c>
    </row>
    <row r="13" s="59" customFormat="1" spans="1:16">
      <c r="A13" s="66" t="s">
        <v>835</v>
      </c>
      <c r="B13" s="66" t="s">
        <v>58</v>
      </c>
      <c r="C13" s="66" t="s">
        <v>812</v>
      </c>
      <c r="D13" s="67" t="s">
        <v>18</v>
      </c>
      <c r="E13" s="66" t="s">
        <v>836</v>
      </c>
      <c r="F13" s="66" t="s">
        <v>837</v>
      </c>
      <c r="G13" s="66" t="s">
        <v>23</v>
      </c>
      <c r="H13" s="65">
        <v>209</v>
      </c>
      <c r="I13" s="66"/>
      <c r="J13" s="67" t="s">
        <v>838</v>
      </c>
      <c r="K13" s="67">
        <v>5538.5</v>
      </c>
      <c r="L13" s="69" t="s">
        <v>22</v>
      </c>
      <c r="M13" s="67"/>
      <c r="N13" s="67"/>
      <c r="O13" s="67"/>
      <c r="P13" s="69" t="s">
        <v>21</v>
      </c>
    </row>
    <row r="14" spans="1:16">
      <c r="A14" s="64" t="s">
        <v>839</v>
      </c>
      <c r="B14" s="64" t="s">
        <v>17</v>
      </c>
      <c r="C14" s="64" t="s">
        <v>794</v>
      </c>
      <c r="D14" s="64" t="s">
        <v>28</v>
      </c>
      <c r="E14" s="64" t="s">
        <v>840</v>
      </c>
      <c r="F14" s="64" t="s">
        <v>841</v>
      </c>
      <c r="G14" s="64" t="s">
        <v>21</v>
      </c>
      <c r="H14" s="65">
        <v>30</v>
      </c>
      <c r="I14" s="66"/>
      <c r="J14" s="67" t="s">
        <v>842</v>
      </c>
      <c r="K14" s="67">
        <v>1317.15</v>
      </c>
      <c r="L14" s="68" t="s">
        <v>31</v>
      </c>
      <c r="M14" s="68" t="s">
        <v>32</v>
      </c>
      <c r="N14" s="68" t="s">
        <v>23</v>
      </c>
      <c r="O14" s="68" t="s">
        <v>32</v>
      </c>
      <c r="P14" s="68" t="s">
        <v>23</v>
      </c>
    </row>
    <row r="15" spans="1:16">
      <c r="A15" s="64" t="s">
        <v>843</v>
      </c>
      <c r="B15" s="64" t="s">
        <v>17</v>
      </c>
      <c r="C15" s="64" t="s">
        <v>794</v>
      </c>
      <c r="D15" s="64" t="s">
        <v>28</v>
      </c>
      <c r="E15" s="64" t="s">
        <v>844</v>
      </c>
      <c r="F15" s="64" t="s">
        <v>845</v>
      </c>
      <c r="G15" s="64" t="s">
        <v>23</v>
      </c>
      <c r="H15" s="65">
        <v>150</v>
      </c>
      <c r="I15" s="66" t="s">
        <v>846</v>
      </c>
      <c r="J15" s="67" t="s">
        <v>847</v>
      </c>
      <c r="K15" s="67">
        <v>3675</v>
      </c>
      <c r="L15" s="68" t="s">
        <v>31</v>
      </c>
      <c r="M15" s="68" t="s">
        <v>32</v>
      </c>
      <c r="N15" s="68" t="s">
        <v>23</v>
      </c>
      <c r="O15" s="68" t="s">
        <v>32</v>
      </c>
      <c r="P15" s="68" t="s">
        <v>23</v>
      </c>
    </row>
    <row r="16" spans="1:16">
      <c r="A16" s="64" t="s">
        <v>848</v>
      </c>
      <c r="B16" s="64" t="s">
        <v>17</v>
      </c>
      <c r="C16" s="64" t="s">
        <v>849</v>
      </c>
      <c r="D16" s="64" t="s">
        <v>28</v>
      </c>
      <c r="E16" s="64" t="s">
        <v>850</v>
      </c>
      <c r="F16" s="64" t="s">
        <v>851</v>
      </c>
      <c r="G16" s="64" t="s">
        <v>21</v>
      </c>
      <c r="H16" s="65">
        <v>150</v>
      </c>
      <c r="I16" s="66" t="s">
        <v>846</v>
      </c>
      <c r="J16" s="67" t="s">
        <v>852</v>
      </c>
      <c r="K16" s="67">
        <v>2288.25</v>
      </c>
      <c r="L16" s="68" t="s">
        <v>31</v>
      </c>
      <c r="M16" s="68" t="s">
        <v>32</v>
      </c>
      <c r="N16" s="68" t="s">
        <v>23</v>
      </c>
      <c r="O16" s="68" t="s">
        <v>32</v>
      </c>
      <c r="P16" s="68" t="s">
        <v>23</v>
      </c>
    </row>
    <row r="17" spans="1:16">
      <c r="A17" s="64" t="s">
        <v>853</v>
      </c>
      <c r="B17" s="64" t="s">
        <v>17</v>
      </c>
      <c r="C17" s="64" t="s">
        <v>849</v>
      </c>
      <c r="D17" s="64" t="s">
        <v>28</v>
      </c>
      <c r="E17" s="64" t="s">
        <v>854</v>
      </c>
      <c r="F17" s="64" t="s">
        <v>855</v>
      </c>
      <c r="G17" s="64" t="s">
        <v>21</v>
      </c>
      <c r="H17" s="65">
        <v>100</v>
      </c>
      <c r="I17" s="66" t="s">
        <v>846</v>
      </c>
      <c r="J17" s="67" t="s">
        <v>856</v>
      </c>
      <c r="K17" s="67">
        <v>2276.98</v>
      </c>
      <c r="L17" s="68" t="s">
        <v>31</v>
      </c>
      <c r="M17" s="68" t="s">
        <v>32</v>
      </c>
      <c r="N17" s="68" t="s">
        <v>23</v>
      </c>
      <c r="O17" s="68" t="s">
        <v>32</v>
      </c>
      <c r="P17" s="68" t="s">
        <v>23</v>
      </c>
    </row>
    <row r="18" s="59" customFormat="1" spans="1:16">
      <c r="A18" s="66" t="s">
        <v>857</v>
      </c>
      <c r="B18" s="66" t="s">
        <v>17</v>
      </c>
      <c r="C18" s="66" t="s">
        <v>858</v>
      </c>
      <c r="D18" s="67" t="s">
        <v>18</v>
      </c>
      <c r="E18" s="66" t="s">
        <v>859</v>
      </c>
      <c r="F18" s="66" t="s">
        <v>86</v>
      </c>
      <c r="G18" s="66" t="s">
        <v>23</v>
      </c>
      <c r="H18" s="65">
        <v>300</v>
      </c>
      <c r="I18" s="66" t="s">
        <v>809</v>
      </c>
      <c r="J18" s="67" t="s">
        <v>860</v>
      </c>
      <c r="K18" s="67">
        <v>4440</v>
      </c>
      <c r="L18" s="69" t="s">
        <v>22</v>
      </c>
      <c r="M18" s="67"/>
      <c r="N18" s="67"/>
      <c r="O18" s="67"/>
      <c r="P18" s="69" t="s">
        <v>21</v>
      </c>
    </row>
    <row r="19" spans="1:16">
      <c r="A19" s="64" t="s">
        <v>861</v>
      </c>
      <c r="B19" s="64" t="s">
        <v>58</v>
      </c>
      <c r="C19" s="64" t="s">
        <v>862</v>
      </c>
      <c r="D19" s="68" t="s">
        <v>238</v>
      </c>
      <c r="E19" s="64" t="s">
        <v>863</v>
      </c>
      <c r="F19" s="64" t="s">
        <v>864</v>
      </c>
      <c r="G19" s="64" t="s">
        <v>23</v>
      </c>
      <c r="H19" s="65">
        <v>1000</v>
      </c>
      <c r="I19" s="66"/>
      <c r="J19" s="67" t="s">
        <v>865</v>
      </c>
      <c r="K19" s="67">
        <v>5000</v>
      </c>
      <c r="L19" s="68" t="s">
        <v>31</v>
      </c>
      <c r="M19" s="68" t="s">
        <v>241</v>
      </c>
      <c r="N19" s="68" t="s">
        <v>23</v>
      </c>
      <c r="O19" s="68" t="s">
        <v>241</v>
      </c>
      <c r="P19" s="68" t="s">
        <v>23</v>
      </c>
    </row>
    <row r="20" s="59" customFormat="1" spans="1:16">
      <c r="A20" s="66" t="s">
        <v>866</v>
      </c>
      <c r="B20" s="66" t="s">
        <v>17</v>
      </c>
      <c r="C20" s="66" t="s">
        <v>867</v>
      </c>
      <c r="D20" s="67" t="s">
        <v>18</v>
      </c>
      <c r="E20" s="66" t="s">
        <v>868</v>
      </c>
      <c r="F20" s="66" t="s">
        <v>869</v>
      </c>
      <c r="G20" s="66" t="s">
        <v>21</v>
      </c>
      <c r="H20" s="65">
        <v>150</v>
      </c>
      <c r="I20" s="66"/>
      <c r="J20" s="67" t="s">
        <v>870</v>
      </c>
      <c r="K20" s="67">
        <v>3069</v>
      </c>
      <c r="L20" s="69" t="s">
        <v>31</v>
      </c>
      <c r="M20" s="69" t="s">
        <v>52</v>
      </c>
      <c r="N20" s="69" t="s">
        <v>23</v>
      </c>
      <c r="O20" s="69" t="s">
        <v>52</v>
      </c>
      <c r="P20" s="69" t="s">
        <v>21</v>
      </c>
    </row>
    <row r="21" s="59" customFormat="1" spans="1:16">
      <c r="A21" s="66" t="s">
        <v>871</v>
      </c>
      <c r="B21" s="66" t="s">
        <v>17</v>
      </c>
      <c r="C21" s="66" t="s">
        <v>867</v>
      </c>
      <c r="D21" s="67" t="s">
        <v>18</v>
      </c>
      <c r="E21" s="66" t="s">
        <v>872</v>
      </c>
      <c r="F21" s="66" t="s">
        <v>873</v>
      </c>
      <c r="G21" s="66" t="s">
        <v>21</v>
      </c>
      <c r="H21" s="65">
        <v>300</v>
      </c>
      <c r="I21" s="66" t="s">
        <v>809</v>
      </c>
      <c r="J21" s="67" t="s">
        <v>874</v>
      </c>
      <c r="K21" s="67">
        <v>7003.5</v>
      </c>
      <c r="L21" s="69" t="s">
        <v>31</v>
      </c>
      <c r="M21" s="69" t="s">
        <v>158</v>
      </c>
      <c r="N21" s="69" t="s">
        <v>23</v>
      </c>
      <c r="O21" s="69" t="s">
        <v>158</v>
      </c>
      <c r="P21" s="69" t="s">
        <v>21</v>
      </c>
    </row>
    <row r="22" spans="1:16">
      <c r="A22" s="64" t="s">
        <v>875</v>
      </c>
      <c r="B22" s="64" t="s">
        <v>17</v>
      </c>
      <c r="C22" s="64" t="s">
        <v>794</v>
      </c>
      <c r="D22" s="64" t="s">
        <v>28</v>
      </c>
      <c r="E22" s="64" t="s">
        <v>876</v>
      </c>
      <c r="F22" s="64" t="s">
        <v>877</v>
      </c>
      <c r="G22" s="64" t="s">
        <v>21</v>
      </c>
      <c r="H22" s="65">
        <v>80</v>
      </c>
      <c r="I22" s="66" t="s">
        <v>809</v>
      </c>
      <c r="J22" s="67" t="s">
        <v>878</v>
      </c>
      <c r="K22" s="67">
        <v>678.72</v>
      </c>
      <c r="L22" s="68" t="s">
        <v>31</v>
      </c>
      <c r="M22" s="68" t="s">
        <v>32</v>
      </c>
      <c r="N22" s="68" t="s">
        <v>23</v>
      </c>
      <c r="O22" s="68" t="s">
        <v>32</v>
      </c>
      <c r="P22" s="68" t="s">
        <v>23</v>
      </c>
    </row>
    <row r="23" spans="1:16">
      <c r="A23" s="64" t="s">
        <v>879</v>
      </c>
      <c r="B23" s="64" t="s">
        <v>17</v>
      </c>
      <c r="C23" s="64" t="s">
        <v>794</v>
      </c>
      <c r="D23" s="64" t="s">
        <v>28</v>
      </c>
      <c r="E23" s="64" t="s">
        <v>625</v>
      </c>
      <c r="F23" s="64" t="s">
        <v>626</v>
      </c>
      <c r="G23" s="64" t="s">
        <v>21</v>
      </c>
      <c r="H23" s="65">
        <v>120</v>
      </c>
      <c r="I23" s="66"/>
      <c r="J23" s="67" t="s">
        <v>880</v>
      </c>
      <c r="K23" s="67">
        <v>2856</v>
      </c>
      <c r="L23" s="68" t="s">
        <v>31</v>
      </c>
      <c r="M23" s="68" t="s">
        <v>32</v>
      </c>
      <c r="N23" s="68" t="s">
        <v>23</v>
      </c>
      <c r="O23" s="68" t="s">
        <v>32</v>
      </c>
      <c r="P23" s="68" t="s">
        <v>23</v>
      </c>
    </row>
    <row r="24" spans="1:16">
      <c r="A24" s="64" t="s">
        <v>881</v>
      </c>
      <c r="B24" s="64" t="s">
        <v>17</v>
      </c>
      <c r="C24" s="64" t="s">
        <v>794</v>
      </c>
      <c r="D24" s="64" t="s">
        <v>28</v>
      </c>
      <c r="E24" s="64" t="s">
        <v>882</v>
      </c>
      <c r="F24" s="64" t="s">
        <v>883</v>
      </c>
      <c r="G24" s="64" t="s">
        <v>21</v>
      </c>
      <c r="H24" s="65">
        <v>120</v>
      </c>
      <c r="I24" s="66"/>
      <c r="J24" s="67" t="s">
        <v>884</v>
      </c>
      <c r="K24" s="67">
        <v>2095.2</v>
      </c>
      <c r="L24" s="68" t="s">
        <v>31</v>
      </c>
      <c r="M24" s="68" t="s">
        <v>32</v>
      </c>
      <c r="N24" s="68" t="s">
        <v>23</v>
      </c>
      <c r="O24" s="68" t="s">
        <v>32</v>
      </c>
      <c r="P24" s="68" t="s">
        <v>23</v>
      </c>
    </row>
    <row r="25" spans="1:16">
      <c r="A25" s="64" t="s">
        <v>885</v>
      </c>
      <c r="B25" s="64" t="s">
        <v>17</v>
      </c>
      <c r="C25" s="64" t="s">
        <v>794</v>
      </c>
      <c r="D25" s="64" t="s">
        <v>28</v>
      </c>
      <c r="E25" s="64" t="s">
        <v>886</v>
      </c>
      <c r="F25" s="64" t="s">
        <v>887</v>
      </c>
      <c r="G25" s="64" t="s">
        <v>21</v>
      </c>
      <c r="H25" s="65">
        <v>120</v>
      </c>
      <c r="I25" s="66"/>
      <c r="J25" s="67" t="s">
        <v>888</v>
      </c>
      <c r="K25" s="67">
        <v>2035.2</v>
      </c>
      <c r="L25" s="68" t="s">
        <v>31</v>
      </c>
      <c r="M25" s="68" t="s">
        <v>32</v>
      </c>
      <c r="N25" s="68" t="s">
        <v>23</v>
      </c>
      <c r="O25" s="68" t="s">
        <v>32</v>
      </c>
      <c r="P25" s="68" t="s">
        <v>23</v>
      </c>
    </row>
    <row r="26" spans="1:16">
      <c r="A26" s="64" t="s">
        <v>889</v>
      </c>
      <c r="B26" s="64" t="s">
        <v>17</v>
      </c>
      <c r="C26" s="64" t="s">
        <v>794</v>
      </c>
      <c r="D26" s="64" t="s">
        <v>28</v>
      </c>
      <c r="E26" s="64" t="s">
        <v>890</v>
      </c>
      <c r="F26" s="64" t="s">
        <v>891</v>
      </c>
      <c r="G26" s="64" t="s">
        <v>21</v>
      </c>
      <c r="H26" s="65">
        <v>120</v>
      </c>
      <c r="I26" s="66"/>
      <c r="J26" s="67" t="s">
        <v>888</v>
      </c>
      <c r="K26" s="67">
        <v>2035.2</v>
      </c>
      <c r="L26" s="68" t="s">
        <v>31</v>
      </c>
      <c r="M26" s="68" t="s">
        <v>32</v>
      </c>
      <c r="N26" s="68" t="s">
        <v>23</v>
      </c>
      <c r="O26" s="68" t="s">
        <v>32</v>
      </c>
      <c r="P26" s="68" t="s">
        <v>23</v>
      </c>
    </row>
    <row r="27" spans="1:16">
      <c r="A27" s="64" t="s">
        <v>892</v>
      </c>
      <c r="B27" s="64" t="s">
        <v>17</v>
      </c>
      <c r="C27" s="64" t="s">
        <v>794</v>
      </c>
      <c r="D27" s="64" t="s">
        <v>28</v>
      </c>
      <c r="E27" s="64" t="s">
        <v>893</v>
      </c>
      <c r="F27" s="64" t="s">
        <v>894</v>
      </c>
      <c r="G27" s="64" t="s">
        <v>21</v>
      </c>
      <c r="H27" s="65">
        <v>150</v>
      </c>
      <c r="I27" s="66"/>
      <c r="J27" s="67" t="s">
        <v>888</v>
      </c>
      <c r="K27" s="67">
        <v>2544</v>
      </c>
      <c r="L27" s="68" t="s">
        <v>31</v>
      </c>
      <c r="M27" s="68" t="s">
        <v>32</v>
      </c>
      <c r="N27" s="68" t="s">
        <v>23</v>
      </c>
      <c r="O27" s="68" t="s">
        <v>32</v>
      </c>
      <c r="P27" s="68" t="s">
        <v>23</v>
      </c>
    </row>
    <row r="28" s="59" customFormat="1" spans="1:16">
      <c r="A28" s="66" t="s">
        <v>895</v>
      </c>
      <c r="B28" s="66" t="s">
        <v>58</v>
      </c>
      <c r="C28" s="66" t="s">
        <v>812</v>
      </c>
      <c r="D28" s="67" t="s">
        <v>18</v>
      </c>
      <c r="E28" s="66" t="s">
        <v>896</v>
      </c>
      <c r="F28" s="66" t="s">
        <v>897</v>
      </c>
      <c r="G28" s="66" t="s">
        <v>21</v>
      </c>
      <c r="H28" s="65">
        <v>200</v>
      </c>
      <c r="I28" s="66"/>
      <c r="J28" s="67" t="s">
        <v>898</v>
      </c>
      <c r="K28" s="67">
        <v>4609.86</v>
      </c>
      <c r="L28" s="69" t="s">
        <v>31</v>
      </c>
      <c r="M28" s="69" t="s">
        <v>52</v>
      </c>
      <c r="N28" s="69" t="s">
        <v>23</v>
      </c>
      <c r="O28" s="69" t="s">
        <v>52</v>
      </c>
      <c r="P28" s="69" t="s">
        <v>21</v>
      </c>
    </row>
    <row r="29" s="59" customFormat="1" spans="1:16">
      <c r="A29" s="66" t="s">
        <v>899</v>
      </c>
      <c r="B29" s="66" t="s">
        <v>17</v>
      </c>
      <c r="C29" s="66" t="s">
        <v>812</v>
      </c>
      <c r="D29" s="67" t="s">
        <v>18</v>
      </c>
      <c r="E29" s="66" t="s">
        <v>900</v>
      </c>
      <c r="F29" s="66" t="s">
        <v>901</v>
      </c>
      <c r="G29" s="66" t="s">
        <v>21</v>
      </c>
      <c r="H29" s="65">
        <v>300</v>
      </c>
      <c r="I29" s="66"/>
      <c r="J29" s="67" t="s">
        <v>902</v>
      </c>
      <c r="K29" s="67">
        <v>14563.8</v>
      </c>
      <c r="L29" s="69" t="s">
        <v>31</v>
      </c>
      <c r="M29" s="69" t="s">
        <v>75</v>
      </c>
      <c r="N29" s="69" t="s">
        <v>23</v>
      </c>
      <c r="O29" s="69" t="s">
        <v>75</v>
      </c>
      <c r="P29" s="69" t="s">
        <v>21</v>
      </c>
    </row>
    <row r="30" s="59" customFormat="1" spans="1:16">
      <c r="A30" s="66" t="s">
        <v>903</v>
      </c>
      <c r="B30" s="66" t="s">
        <v>17</v>
      </c>
      <c r="C30" s="66" t="s">
        <v>904</v>
      </c>
      <c r="D30" s="67" t="s">
        <v>18</v>
      </c>
      <c r="E30" s="66" t="s">
        <v>840</v>
      </c>
      <c r="F30" s="66" t="s">
        <v>841</v>
      </c>
      <c r="G30" s="66" t="s">
        <v>21</v>
      </c>
      <c r="H30" s="65">
        <v>300</v>
      </c>
      <c r="I30" s="66"/>
      <c r="J30" s="67" t="s">
        <v>842</v>
      </c>
      <c r="K30" s="67">
        <v>13171.5</v>
      </c>
      <c r="L30" s="69" t="s">
        <v>31</v>
      </c>
      <c r="M30" s="69" t="s">
        <v>52</v>
      </c>
      <c r="N30" s="69" t="s">
        <v>23</v>
      </c>
      <c r="O30" s="69" t="s">
        <v>52</v>
      </c>
      <c r="P30" s="69" t="s">
        <v>21</v>
      </c>
    </row>
    <row r="31" s="59" customFormat="1" spans="1:16">
      <c r="A31" s="66" t="s">
        <v>905</v>
      </c>
      <c r="B31" s="66" t="s">
        <v>49</v>
      </c>
      <c r="C31" s="66" t="s">
        <v>906</v>
      </c>
      <c r="D31" s="67" t="s">
        <v>18</v>
      </c>
      <c r="E31" s="66" t="s">
        <v>907</v>
      </c>
      <c r="F31" s="66" t="s">
        <v>908</v>
      </c>
      <c r="G31" s="66" t="s">
        <v>21</v>
      </c>
      <c r="H31" s="65">
        <v>500</v>
      </c>
      <c r="I31" s="66"/>
      <c r="J31" s="67" t="s">
        <v>909</v>
      </c>
      <c r="K31" s="67">
        <v>9480</v>
      </c>
      <c r="L31" s="69" t="s">
        <v>22</v>
      </c>
      <c r="M31" s="67"/>
      <c r="N31" s="67"/>
      <c r="O31" s="67"/>
      <c r="P31" s="69" t="s">
        <v>21</v>
      </c>
    </row>
    <row r="32" s="59" customFormat="1" spans="1:16">
      <c r="A32" s="66" t="s">
        <v>910</v>
      </c>
      <c r="B32" s="66" t="s">
        <v>17</v>
      </c>
      <c r="C32" s="66" t="s">
        <v>812</v>
      </c>
      <c r="D32" s="67" t="s">
        <v>18</v>
      </c>
      <c r="E32" s="66" t="s">
        <v>911</v>
      </c>
      <c r="F32" s="66" t="s">
        <v>912</v>
      </c>
      <c r="G32" s="66" t="s">
        <v>21</v>
      </c>
      <c r="H32" s="65">
        <v>200</v>
      </c>
      <c r="I32" s="66"/>
      <c r="J32" s="67" t="s">
        <v>913</v>
      </c>
      <c r="K32" s="67">
        <v>4290</v>
      </c>
      <c r="L32" s="69" t="s">
        <v>31</v>
      </c>
      <c r="M32" s="69" t="s">
        <v>75</v>
      </c>
      <c r="N32" s="69" t="s">
        <v>23</v>
      </c>
      <c r="O32" s="69" t="s">
        <v>75</v>
      </c>
      <c r="P32" s="69" t="s">
        <v>21</v>
      </c>
    </row>
    <row r="33" s="59" customFormat="1" spans="1:16">
      <c r="A33" s="66" t="s">
        <v>914</v>
      </c>
      <c r="B33" s="66" t="s">
        <v>17</v>
      </c>
      <c r="C33" s="66" t="s">
        <v>803</v>
      </c>
      <c r="D33" s="67" t="s">
        <v>18</v>
      </c>
      <c r="E33" s="66" t="s">
        <v>915</v>
      </c>
      <c r="F33" s="66" t="s">
        <v>916</v>
      </c>
      <c r="G33" s="66" t="s">
        <v>21</v>
      </c>
      <c r="H33" s="65">
        <v>300</v>
      </c>
      <c r="I33" s="66"/>
      <c r="J33" s="67" t="s">
        <v>917</v>
      </c>
      <c r="K33" s="67">
        <v>5635.5</v>
      </c>
      <c r="L33" s="69" t="s">
        <v>31</v>
      </c>
      <c r="M33" s="69" t="s">
        <v>52</v>
      </c>
      <c r="N33" s="69" t="s">
        <v>23</v>
      </c>
      <c r="O33" s="69" t="s">
        <v>52</v>
      </c>
      <c r="P33" s="69" t="s">
        <v>21</v>
      </c>
    </row>
    <row r="34" spans="1:16">
      <c r="A34" s="64" t="s">
        <v>918</v>
      </c>
      <c r="B34" s="64" t="s">
        <v>17</v>
      </c>
      <c r="C34" s="64" t="s">
        <v>862</v>
      </c>
      <c r="D34" s="68" t="s">
        <v>238</v>
      </c>
      <c r="E34" s="64" t="s">
        <v>919</v>
      </c>
      <c r="F34" s="64" t="s">
        <v>920</v>
      </c>
      <c r="G34" s="64" t="s">
        <v>23</v>
      </c>
      <c r="H34" s="65">
        <v>8000</v>
      </c>
      <c r="I34" s="66"/>
      <c r="J34" s="67" t="s">
        <v>921</v>
      </c>
      <c r="K34" s="67">
        <v>6400</v>
      </c>
      <c r="L34" s="68" t="s">
        <v>31</v>
      </c>
      <c r="M34" s="68" t="s">
        <v>241</v>
      </c>
      <c r="N34" s="68" t="s">
        <v>23</v>
      </c>
      <c r="O34" s="68" t="s">
        <v>241</v>
      </c>
      <c r="P34" s="68" t="s">
        <v>23</v>
      </c>
    </row>
    <row r="35" spans="1:16">
      <c r="A35" s="64" t="s">
        <v>922</v>
      </c>
      <c r="B35" s="64" t="s">
        <v>17</v>
      </c>
      <c r="C35" s="64" t="s">
        <v>794</v>
      </c>
      <c r="D35" s="64" t="s">
        <v>28</v>
      </c>
      <c r="E35" s="64" t="s">
        <v>882</v>
      </c>
      <c r="F35" s="64" t="s">
        <v>883</v>
      </c>
      <c r="G35" s="64" t="s">
        <v>21</v>
      </c>
      <c r="H35" s="65">
        <v>150</v>
      </c>
      <c r="I35" s="66"/>
      <c r="J35" s="67" t="s">
        <v>884</v>
      </c>
      <c r="K35" s="67">
        <v>2619</v>
      </c>
      <c r="L35" s="68" t="s">
        <v>31</v>
      </c>
      <c r="M35" s="68" t="s">
        <v>32</v>
      </c>
      <c r="N35" s="68" t="s">
        <v>23</v>
      </c>
      <c r="O35" s="68" t="s">
        <v>32</v>
      </c>
      <c r="P35" s="68" t="s">
        <v>23</v>
      </c>
    </row>
    <row r="36" spans="1:16">
      <c r="A36" s="64" t="s">
        <v>923</v>
      </c>
      <c r="B36" s="64" t="s">
        <v>17</v>
      </c>
      <c r="C36" s="64" t="s">
        <v>794</v>
      </c>
      <c r="D36" s="64" t="s">
        <v>28</v>
      </c>
      <c r="E36" s="64" t="s">
        <v>924</v>
      </c>
      <c r="F36" s="64" t="s">
        <v>925</v>
      </c>
      <c r="G36" s="64" t="s">
        <v>21</v>
      </c>
      <c r="H36" s="65">
        <v>130</v>
      </c>
      <c r="I36" s="66" t="s">
        <v>809</v>
      </c>
      <c r="J36" s="67" t="s">
        <v>926</v>
      </c>
      <c r="K36" s="67">
        <v>1748.5</v>
      </c>
      <c r="L36" s="68" t="s">
        <v>31</v>
      </c>
      <c r="M36" s="68" t="s">
        <v>32</v>
      </c>
      <c r="N36" s="68" t="s">
        <v>23</v>
      </c>
      <c r="O36" s="68" t="s">
        <v>32</v>
      </c>
      <c r="P36" s="68" t="s">
        <v>23</v>
      </c>
    </row>
    <row r="37" spans="1:16">
      <c r="A37" s="64" t="s">
        <v>927</v>
      </c>
      <c r="B37" s="64" t="s">
        <v>17</v>
      </c>
      <c r="C37" s="64" t="s">
        <v>794</v>
      </c>
      <c r="D37" s="64" t="s">
        <v>28</v>
      </c>
      <c r="E37" s="64" t="s">
        <v>928</v>
      </c>
      <c r="F37" s="64" t="s">
        <v>929</v>
      </c>
      <c r="G37" s="64" t="s">
        <v>21</v>
      </c>
      <c r="H37" s="65">
        <v>200</v>
      </c>
      <c r="I37" s="66"/>
      <c r="J37" s="67" t="s">
        <v>930</v>
      </c>
      <c r="K37" s="67">
        <v>1443.2</v>
      </c>
      <c r="L37" s="68" t="s">
        <v>31</v>
      </c>
      <c r="M37" s="68" t="s">
        <v>32</v>
      </c>
      <c r="N37" s="68" t="s">
        <v>23</v>
      </c>
      <c r="O37" s="68" t="s">
        <v>32</v>
      </c>
      <c r="P37" s="68" t="s">
        <v>23</v>
      </c>
    </row>
    <row r="38" spans="1:16">
      <c r="A38" s="64" t="s">
        <v>931</v>
      </c>
      <c r="B38" s="64" t="s">
        <v>17</v>
      </c>
      <c r="C38" s="64" t="s">
        <v>849</v>
      </c>
      <c r="D38" s="64" t="s">
        <v>28</v>
      </c>
      <c r="E38" s="64" t="s">
        <v>932</v>
      </c>
      <c r="F38" s="64" t="s">
        <v>933</v>
      </c>
      <c r="G38" s="64" t="s">
        <v>21</v>
      </c>
      <c r="H38" s="65">
        <v>100</v>
      </c>
      <c r="I38" s="66" t="s">
        <v>846</v>
      </c>
      <c r="J38" s="67" t="s">
        <v>934</v>
      </c>
      <c r="K38" s="67">
        <v>2836.98</v>
      </c>
      <c r="L38" s="68" t="s">
        <v>31</v>
      </c>
      <c r="M38" s="68" t="s">
        <v>32</v>
      </c>
      <c r="N38" s="68" t="s">
        <v>23</v>
      </c>
      <c r="O38" s="68" t="s">
        <v>32</v>
      </c>
      <c r="P38" s="68" t="s">
        <v>23</v>
      </c>
    </row>
    <row r="39" spans="1:16">
      <c r="A39" s="64" t="s">
        <v>935</v>
      </c>
      <c r="B39" s="64" t="s">
        <v>17</v>
      </c>
      <c r="C39" s="64" t="s">
        <v>794</v>
      </c>
      <c r="D39" s="64" t="s">
        <v>28</v>
      </c>
      <c r="E39" s="64" t="s">
        <v>936</v>
      </c>
      <c r="F39" s="64" t="s">
        <v>937</v>
      </c>
      <c r="G39" s="64" t="s">
        <v>21</v>
      </c>
      <c r="H39" s="65">
        <v>120</v>
      </c>
      <c r="I39" s="66" t="s">
        <v>846</v>
      </c>
      <c r="J39" s="67" t="s">
        <v>938</v>
      </c>
      <c r="K39" s="67">
        <v>905.4</v>
      </c>
      <c r="L39" s="68" t="s">
        <v>31</v>
      </c>
      <c r="M39" s="68" t="s">
        <v>32</v>
      </c>
      <c r="N39" s="68" t="s">
        <v>23</v>
      </c>
      <c r="O39" s="68" t="s">
        <v>32</v>
      </c>
      <c r="P39" s="68" t="s">
        <v>23</v>
      </c>
    </row>
    <row r="40" spans="1:16">
      <c r="A40" s="64" t="s">
        <v>939</v>
      </c>
      <c r="B40" s="64" t="s">
        <v>17</v>
      </c>
      <c r="C40" s="64" t="s">
        <v>794</v>
      </c>
      <c r="D40" s="64" t="s">
        <v>28</v>
      </c>
      <c r="E40" s="64" t="s">
        <v>219</v>
      </c>
      <c r="F40" s="64" t="s">
        <v>220</v>
      </c>
      <c r="G40" s="64" t="s">
        <v>23</v>
      </c>
      <c r="H40" s="65">
        <v>100</v>
      </c>
      <c r="I40" s="66" t="s">
        <v>846</v>
      </c>
      <c r="J40" s="67" t="s">
        <v>940</v>
      </c>
      <c r="K40" s="67">
        <v>900</v>
      </c>
      <c r="L40" s="68" t="s">
        <v>31</v>
      </c>
      <c r="M40" s="68" t="s">
        <v>32</v>
      </c>
      <c r="N40" s="68" t="s">
        <v>23</v>
      </c>
      <c r="O40" s="68" t="s">
        <v>32</v>
      </c>
      <c r="P40" s="68" t="s">
        <v>23</v>
      </c>
    </row>
    <row r="41" spans="1:16">
      <c r="A41" s="64" t="s">
        <v>941</v>
      </c>
      <c r="B41" s="64" t="s">
        <v>17</v>
      </c>
      <c r="C41" s="64" t="s">
        <v>794</v>
      </c>
      <c r="D41" s="64" t="s">
        <v>28</v>
      </c>
      <c r="E41" s="64" t="s">
        <v>942</v>
      </c>
      <c r="F41" s="64" t="s">
        <v>943</v>
      </c>
      <c r="G41" s="64" t="s">
        <v>21</v>
      </c>
      <c r="H41" s="65">
        <v>250</v>
      </c>
      <c r="I41" s="66"/>
      <c r="J41" s="67" t="s">
        <v>944</v>
      </c>
      <c r="K41" s="67">
        <v>4198</v>
      </c>
      <c r="L41" s="68" t="s">
        <v>31</v>
      </c>
      <c r="M41" s="68" t="s">
        <v>32</v>
      </c>
      <c r="N41" s="68" t="s">
        <v>23</v>
      </c>
      <c r="O41" s="68" t="s">
        <v>32</v>
      </c>
      <c r="P41" s="68" t="s">
        <v>23</v>
      </c>
    </row>
    <row r="42" s="59" customFormat="1" spans="1:16">
      <c r="A42" s="66" t="s">
        <v>945</v>
      </c>
      <c r="B42" s="66" t="s">
        <v>17</v>
      </c>
      <c r="C42" s="66" t="s">
        <v>946</v>
      </c>
      <c r="D42" s="67" t="s">
        <v>18</v>
      </c>
      <c r="E42" s="66" t="s">
        <v>947</v>
      </c>
      <c r="F42" s="66" t="s">
        <v>948</v>
      </c>
      <c r="G42" s="66" t="s">
        <v>23</v>
      </c>
      <c r="H42" s="65">
        <v>200</v>
      </c>
      <c r="I42" s="69" t="s">
        <v>804</v>
      </c>
      <c r="J42" s="67" t="s">
        <v>949</v>
      </c>
      <c r="K42" s="67">
        <v>1780</v>
      </c>
      <c r="L42" s="67" t="s">
        <v>22</v>
      </c>
      <c r="M42" s="67"/>
      <c r="N42" s="67"/>
      <c r="O42" s="67"/>
      <c r="P42" s="69" t="s">
        <v>21</v>
      </c>
    </row>
    <row r="43" s="59" customFormat="1" spans="1:16">
      <c r="A43" s="66" t="s">
        <v>950</v>
      </c>
      <c r="B43" s="66" t="s">
        <v>17</v>
      </c>
      <c r="C43" s="66" t="s">
        <v>812</v>
      </c>
      <c r="D43" s="67" t="s">
        <v>18</v>
      </c>
      <c r="E43" s="66" t="s">
        <v>951</v>
      </c>
      <c r="F43" s="66" t="s">
        <v>952</v>
      </c>
      <c r="G43" s="66" t="s">
        <v>23</v>
      </c>
      <c r="H43" s="65">
        <v>300</v>
      </c>
      <c r="I43" s="66" t="s">
        <v>846</v>
      </c>
      <c r="J43" s="67" t="s">
        <v>953</v>
      </c>
      <c r="K43" s="67">
        <v>4860</v>
      </c>
      <c r="L43" s="69" t="s">
        <v>31</v>
      </c>
      <c r="M43" s="69" t="s">
        <v>125</v>
      </c>
      <c r="N43" s="69" t="s">
        <v>23</v>
      </c>
      <c r="O43" s="69" t="s">
        <v>125</v>
      </c>
      <c r="P43" s="69" t="s">
        <v>21</v>
      </c>
    </row>
    <row r="44" s="59" customFormat="1" spans="1:16">
      <c r="A44" s="66" t="s">
        <v>954</v>
      </c>
      <c r="B44" s="66" t="s">
        <v>17</v>
      </c>
      <c r="C44" s="66" t="s">
        <v>812</v>
      </c>
      <c r="D44" s="67" t="s">
        <v>18</v>
      </c>
      <c r="E44" s="66" t="s">
        <v>955</v>
      </c>
      <c r="F44" s="66" t="s">
        <v>956</v>
      </c>
      <c r="G44" s="66" t="s">
        <v>21</v>
      </c>
      <c r="H44" s="65">
        <v>400</v>
      </c>
      <c r="I44" s="66"/>
      <c r="J44" s="67" t="s">
        <v>815</v>
      </c>
      <c r="K44" s="67">
        <v>9778</v>
      </c>
      <c r="L44" s="69" t="s">
        <v>31</v>
      </c>
      <c r="M44" s="69" t="s">
        <v>75</v>
      </c>
      <c r="N44" s="69" t="s">
        <v>23</v>
      </c>
      <c r="O44" s="69" t="s">
        <v>75</v>
      </c>
      <c r="P44" s="69" t="s">
        <v>21</v>
      </c>
    </row>
    <row r="45" s="59" customFormat="1" spans="1:16">
      <c r="A45" s="66" t="s">
        <v>957</v>
      </c>
      <c r="B45" s="66" t="s">
        <v>58</v>
      </c>
      <c r="C45" s="66" t="s">
        <v>812</v>
      </c>
      <c r="D45" s="67" t="s">
        <v>18</v>
      </c>
      <c r="E45" s="66" t="s">
        <v>958</v>
      </c>
      <c r="F45" s="66" t="s">
        <v>959</v>
      </c>
      <c r="G45" s="66" t="s">
        <v>23</v>
      </c>
      <c r="H45" s="65">
        <v>500</v>
      </c>
      <c r="I45" s="66"/>
      <c r="J45" s="67" t="s">
        <v>960</v>
      </c>
      <c r="K45" s="67">
        <v>7900</v>
      </c>
      <c r="L45" s="69" t="s">
        <v>22</v>
      </c>
      <c r="M45" s="67"/>
      <c r="N45" s="67"/>
      <c r="O45" s="67"/>
      <c r="P45" s="69" t="s">
        <v>21</v>
      </c>
    </row>
    <row r="46" spans="1:16">
      <c r="A46" s="64" t="s">
        <v>961</v>
      </c>
      <c r="B46" s="64" t="s">
        <v>17</v>
      </c>
      <c r="C46" s="64" t="s">
        <v>794</v>
      </c>
      <c r="D46" s="64" t="s">
        <v>28</v>
      </c>
      <c r="E46" s="64" t="s">
        <v>261</v>
      </c>
      <c r="F46" s="64" t="s">
        <v>262</v>
      </c>
      <c r="G46" s="64" t="s">
        <v>23</v>
      </c>
      <c r="H46" s="65">
        <v>500</v>
      </c>
      <c r="I46" s="66"/>
      <c r="J46" s="67" t="s">
        <v>962</v>
      </c>
      <c r="K46" s="67">
        <v>3250</v>
      </c>
      <c r="L46" s="68" t="s">
        <v>31</v>
      </c>
      <c r="M46" s="68" t="s">
        <v>32</v>
      </c>
      <c r="N46" s="68" t="s">
        <v>23</v>
      </c>
      <c r="O46" s="68" t="s">
        <v>32</v>
      </c>
      <c r="P46" s="68" t="s">
        <v>23</v>
      </c>
    </row>
    <row r="47" s="59" customFormat="1" spans="1:16">
      <c r="A47" s="66" t="s">
        <v>963</v>
      </c>
      <c r="B47" s="66" t="s">
        <v>17</v>
      </c>
      <c r="C47" s="66" t="s">
        <v>812</v>
      </c>
      <c r="D47" s="67" t="s">
        <v>18</v>
      </c>
      <c r="E47" s="66" t="s">
        <v>964</v>
      </c>
      <c r="F47" s="66" t="s">
        <v>965</v>
      </c>
      <c r="G47" s="66" t="s">
        <v>21</v>
      </c>
      <c r="H47" s="65">
        <v>544</v>
      </c>
      <c r="I47" s="66" t="s">
        <v>809</v>
      </c>
      <c r="J47" s="67" t="s">
        <v>966</v>
      </c>
      <c r="K47" s="67">
        <v>4757.28</v>
      </c>
      <c r="L47" s="69" t="s">
        <v>22</v>
      </c>
      <c r="M47" s="67"/>
      <c r="N47" s="67"/>
      <c r="O47" s="67"/>
      <c r="P47" s="69" t="s">
        <v>21</v>
      </c>
    </row>
    <row r="48" s="59" customFormat="1" spans="1:16">
      <c r="A48" s="66" t="s">
        <v>967</v>
      </c>
      <c r="B48" s="66" t="s">
        <v>17</v>
      </c>
      <c r="C48" s="66" t="s">
        <v>803</v>
      </c>
      <c r="D48" s="67" t="s">
        <v>18</v>
      </c>
      <c r="E48" s="66" t="s">
        <v>968</v>
      </c>
      <c r="F48" s="66" t="s">
        <v>969</v>
      </c>
      <c r="G48" s="66" t="s">
        <v>21</v>
      </c>
      <c r="H48" s="65">
        <v>320</v>
      </c>
      <c r="I48" s="66" t="s">
        <v>809</v>
      </c>
      <c r="J48" s="67" t="s">
        <v>970</v>
      </c>
      <c r="K48" s="67">
        <v>8114.24</v>
      </c>
      <c r="L48" s="69" t="s">
        <v>31</v>
      </c>
      <c r="M48" s="69" t="s">
        <v>52</v>
      </c>
      <c r="N48" s="69" t="s">
        <v>23</v>
      </c>
      <c r="O48" s="69" t="s">
        <v>52</v>
      </c>
      <c r="P48" s="69" t="s">
        <v>21</v>
      </c>
    </row>
    <row r="49" spans="1:16">
      <c r="A49" s="64" t="s">
        <v>971</v>
      </c>
      <c r="B49" s="64" t="s">
        <v>17</v>
      </c>
      <c r="C49" s="64" t="s">
        <v>794</v>
      </c>
      <c r="D49" s="64" t="s">
        <v>28</v>
      </c>
      <c r="E49" s="64" t="s">
        <v>924</v>
      </c>
      <c r="F49" s="64" t="s">
        <v>925</v>
      </c>
      <c r="G49" s="64" t="s">
        <v>21</v>
      </c>
      <c r="H49" s="65">
        <v>120</v>
      </c>
      <c r="I49" s="66" t="s">
        <v>809</v>
      </c>
      <c r="J49" s="67" t="s">
        <v>926</v>
      </c>
      <c r="K49" s="67">
        <v>1614</v>
      </c>
      <c r="L49" s="68" t="s">
        <v>31</v>
      </c>
      <c r="M49" s="68" t="s">
        <v>32</v>
      </c>
      <c r="N49" s="68" t="s">
        <v>23</v>
      </c>
      <c r="O49" s="68" t="s">
        <v>32</v>
      </c>
      <c r="P49" s="68" t="s">
        <v>23</v>
      </c>
    </row>
    <row r="50" spans="1:16">
      <c r="A50" s="64" t="s">
        <v>972</v>
      </c>
      <c r="B50" s="64" t="s">
        <v>17</v>
      </c>
      <c r="C50" s="64" t="s">
        <v>794</v>
      </c>
      <c r="D50" s="64" t="s">
        <v>28</v>
      </c>
      <c r="E50" s="64" t="s">
        <v>973</v>
      </c>
      <c r="F50" s="64" t="s">
        <v>974</v>
      </c>
      <c r="G50" s="64" t="s">
        <v>21</v>
      </c>
      <c r="H50" s="65">
        <v>150</v>
      </c>
      <c r="I50" s="66" t="s">
        <v>846</v>
      </c>
      <c r="J50" s="67" t="s">
        <v>938</v>
      </c>
      <c r="K50" s="67">
        <v>1131.75</v>
      </c>
      <c r="L50" s="68" t="s">
        <v>31</v>
      </c>
      <c r="M50" s="68" t="s">
        <v>32</v>
      </c>
      <c r="N50" s="68" t="s">
        <v>23</v>
      </c>
      <c r="O50" s="68" t="s">
        <v>32</v>
      </c>
      <c r="P50" s="68" t="s">
        <v>23</v>
      </c>
    </row>
    <row r="51" s="59" customFormat="1" spans="1:16">
      <c r="A51" s="66" t="s">
        <v>975</v>
      </c>
      <c r="B51" s="66" t="s">
        <v>17</v>
      </c>
      <c r="C51" s="66" t="s">
        <v>904</v>
      </c>
      <c r="D51" s="67" t="s">
        <v>18</v>
      </c>
      <c r="E51" s="66" t="s">
        <v>67</v>
      </c>
      <c r="F51" s="66" t="s">
        <v>68</v>
      </c>
      <c r="G51" s="66" t="s">
        <v>21</v>
      </c>
      <c r="H51" s="65">
        <v>150</v>
      </c>
      <c r="I51" s="66" t="s">
        <v>809</v>
      </c>
      <c r="J51" s="67" t="s">
        <v>976</v>
      </c>
      <c r="K51" s="67">
        <v>2752.5</v>
      </c>
      <c r="L51" s="69" t="s">
        <v>31</v>
      </c>
      <c r="M51" s="69" t="s">
        <v>52</v>
      </c>
      <c r="N51" s="69" t="s">
        <v>23</v>
      </c>
      <c r="O51" s="69" t="s">
        <v>52</v>
      </c>
      <c r="P51" s="69" t="s">
        <v>21</v>
      </c>
    </row>
    <row r="52" s="59" customFormat="1" spans="1:16">
      <c r="A52" s="66" t="s">
        <v>977</v>
      </c>
      <c r="B52" s="66" t="s">
        <v>17</v>
      </c>
      <c r="C52" s="66" t="s">
        <v>904</v>
      </c>
      <c r="D52" s="67" t="s">
        <v>18</v>
      </c>
      <c r="E52" s="66" t="s">
        <v>70</v>
      </c>
      <c r="F52" s="66" t="s">
        <v>71</v>
      </c>
      <c r="G52" s="66" t="s">
        <v>21</v>
      </c>
      <c r="H52" s="65">
        <v>162</v>
      </c>
      <c r="I52" s="66" t="s">
        <v>809</v>
      </c>
      <c r="J52" s="67" t="s">
        <v>978</v>
      </c>
      <c r="K52" s="67">
        <v>5383.26</v>
      </c>
      <c r="L52" s="69" t="s">
        <v>31</v>
      </c>
      <c r="M52" s="69" t="s">
        <v>52</v>
      </c>
      <c r="N52" s="69" t="s">
        <v>23</v>
      </c>
      <c r="O52" s="69" t="s">
        <v>52</v>
      </c>
      <c r="P52" s="69" t="s">
        <v>21</v>
      </c>
    </row>
    <row r="53" s="59" customFormat="1" spans="1:16">
      <c r="A53" s="66" t="s">
        <v>979</v>
      </c>
      <c r="B53" s="66" t="s">
        <v>49</v>
      </c>
      <c r="C53" s="66" t="s">
        <v>812</v>
      </c>
      <c r="D53" s="67" t="s">
        <v>18</v>
      </c>
      <c r="E53" s="66" t="s">
        <v>980</v>
      </c>
      <c r="F53" s="66" t="s">
        <v>981</v>
      </c>
      <c r="G53" s="66" t="s">
        <v>21</v>
      </c>
      <c r="H53" s="65">
        <v>300</v>
      </c>
      <c r="I53" s="66"/>
      <c r="J53" s="67" t="s">
        <v>982</v>
      </c>
      <c r="K53" s="67">
        <v>9600</v>
      </c>
      <c r="L53" s="69" t="s">
        <v>31</v>
      </c>
      <c r="M53" s="69" t="s">
        <v>52</v>
      </c>
      <c r="N53" s="69" t="s">
        <v>23</v>
      </c>
      <c r="O53" s="69" t="s">
        <v>52</v>
      </c>
      <c r="P53" s="69" t="s">
        <v>21</v>
      </c>
    </row>
    <row r="54" spans="1:16">
      <c r="A54" s="64" t="s">
        <v>983</v>
      </c>
      <c r="B54" s="64" t="s">
        <v>17</v>
      </c>
      <c r="C54" s="64" t="s">
        <v>794</v>
      </c>
      <c r="D54" s="64" t="s">
        <v>28</v>
      </c>
      <c r="E54" s="64" t="s">
        <v>176</v>
      </c>
      <c r="F54" s="64" t="s">
        <v>177</v>
      </c>
      <c r="G54" s="64" t="s">
        <v>21</v>
      </c>
      <c r="H54" s="65">
        <v>130</v>
      </c>
      <c r="I54" s="66"/>
      <c r="J54" s="67" t="s">
        <v>984</v>
      </c>
      <c r="K54" s="67">
        <v>1614.21</v>
      </c>
      <c r="L54" s="68" t="s">
        <v>31</v>
      </c>
      <c r="M54" s="68" t="s">
        <v>32</v>
      </c>
      <c r="N54" s="68" t="s">
        <v>23</v>
      </c>
      <c r="O54" s="68" t="s">
        <v>32</v>
      </c>
      <c r="P54" s="68" t="s">
        <v>23</v>
      </c>
    </row>
    <row r="55" spans="1:16">
      <c r="A55" s="64" t="s">
        <v>985</v>
      </c>
      <c r="B55" s="64" t="s">
        <v>17</v>
      </c>
      <c r="C55" s="64" t="s">
        <v>849</v>
      </c>
      <c r="D55" s="64" t="s">
        <v>28</v>
      </c>
      <c r="E55" s="64" t="s">
        <v>986</v>
      </c>
      <c r="F55" s="64" t="s">
        <v>987</v>
      </c>
      <c r="G55" s="64" t="s">
        <v>21</v>
      </c>
      <c r="H55" s="65">
        <v>100</v>
      </c>
      <c r="I55" s="66"/>
      <c r="J55" s="67" t="s">
        <v>988</v>
      </c>
      <c r="K55" s="67">
        <v>2119.7</v>
      </c>
      <c r="L55" s="68" t="s">
        <v>31</v>
      </c>
      <c r="M55" s="68" t="s">
        <v>32</v>
      </c>
      <c r="N55" s="68" t="s">
        <v>23</v>
      </c>
      <c r="O55" s="68" t="s">
        <v>32</v>
      </c>
      <c r="P55" s="68" t="s">
        <v>23</v>
      </c>
    </row>
    <row r="56" s="59" customFormat="1" spans="1:16">
      <c r="A56" s="66" t="s">
        <v>989</v>
      </c>
      <c r="B56" s="66" t="s">
        <v>17</v>
      </c>
      <c r="C56" s="66" t="s">
        <v>867</v>
      </c>
      <c r="D56" s="67" t="s">
        <v>18</v>
      </c>
      <c r="E56" s="66" t="s">
        <v>990</v>
      </c>
      <c r="F56" s="66" t="s">
        <v>991</v>
      </c>
      <c r="G56" s="66" t="s">
        <v>21</v>
      </c>
      <c r="H56" s="65">
        <v>250</v>
      </c>
      <c r="I56" s="66"/>
      <c r="J56" s="67" t="s">
        <v>992</v>
      </c>
      <c r="K56" s="67">
        <v>3011.25</v>
      </c>
      <c r="L56" s="69" t="s">
        <v>31</v>
      </c>
      <c r="M56" s="69" t="s">
        <v>75</v>
      </c>
      <c r="N56" s="69" t="s">
        <v>23</v>
      </c>
      <c r="O56" s="69" t="s">
        <v>75</v>
      </c>
      <c r="P56" s="69" t="s">
        <v>21</v>
      </c>
    </row>
    <row r="57" s="59" customFormat="1" spans="1:16">
      <c r="A57" s="66" t="s">
        <v>993</v>
      </c>
      <c r="B57" s="66" t="s">
        <v>17</v>
      </c>
      <c r="C57" s="66" t="s">
        <v>904</v>
      </c>
      <c r="D57" s="67" t="s">
        <v>18</v>
      </c>
      <c r="E57" s="66" t="s">
        <v>994</v>
      </c>
      <c r="F57" s="66" t="s">
        <v>995</v>
      </c>
      <c r="G57" s="66" t="s">
        <v>21</v>
      </c>
      <c r="H57" s="65">
        <v>360</v>
      </c>
      <c r="I57" s="66"/>
      <c r="J57" s="67" t="s">
        <v>996</v>
      </c>
      <c r="K57" s="67">
        <v>6373.836</v>
      </c>
      <c r="L57" s="69" t="s">
        <v>31</v>
      </c>
      <c r="M57" s="69" t="s">
        <v>75</v>
      </c>
      <c r="N57" s="69" t="s">
        <v>23</v>
      </c>
      <c r="O57" s="69" t="s">
        <v>75</v>
      </c>
      <c r="P57" s="69" t="s">
        <v>21</v>
      </c>
    </row>
    <row r="58" s="59" customFormat="1" spans="1:16">
      <c r="A58" s="66" t="s">
        <v>997</v>
      </c>
      <c r="B58" s="66" t="s">
        <v>17</v>
      </c>
      <c r="C58" s="66" t="s">
        <v>904</v>
      </c>
      <c r="D58" s="67" t="s">
        <v>18</v>
      </c>
      <c r="E58" s="66" t="s">
        <v>998</v>
      </c>
      <c r="F58" s="66" t="s">
        <v>999</v>
      </c>
      <c r="G58" s="66" t="s">
        <v>21</v>
      </c>
      <c r="H58" s="65">
        <v>420</v>
      </c>
      <c r="I58" s="66"/>
      <c r="J58" s="67" t="s">
        <v>1000</v>
      </c>
      <c r="K58" s="67">
        <v>3940.02</v>
      </c>
      <c r="L58" s="69" t="s">
        <v>31</v>
      </c>
      <c r="M58" s="69" t="s">
        <v>75</v>
      </c>
      <c r="N58" s="69" t="s">
        <v>23</v>
      </c>
      <c r="O58" s="69" t="s">
        <v>75</v>
      </c>
      <c r="P58" s="69" t="s">
        <v>23</v>
      </c>
    </row>
    <row r="59" s="59" customFormat="1" spans="1:16">
      <c r="A59" s="66" t="s">
        <v>1001</v>
      </c>
      <c r="B59" s="66" t="s">
        <v>17</v>
      </c>
      <c r="C59" s="66" t="s">
        <v>904</v>
      </c>
      <c r="D59" s="67" t="s">
        <v>18</v>
      </c>
      <c r="E59" s="66" t="s">
        <v>153</v>
      </c>
      <c r="F59" s="66" t="s">
        <v>154</v>
      </c>
      <c r="G59" s="66" t="s">
        <v>21</v>
      </c>
      <c r="H59" s="65">
        <v>250</v>
      </c>
      <c r="I59" s="66"/>
      <c r="J59" s="67" t="s">
        <v>1002</v>
      </c>
      <c r="K59" s="67">
        <v>3201.25</v>
      </c>
      <c r="L59" s="69" t="s">
        <v>31</v>
      </c>
      <c r="M59" s="69" t="s">
        <v>75</v>
      </c>
      <c r="N59" s="69" t="s">
        <v>23</v>
      </c>
      <c r="O59" s="69" t="s">
        <v>75</v>
      </c>
      <c r="P59" s="69" t="s">
        <v>23</v>
      </c>
    </row>
    <row r="60" s="59" customFormat="1" spans="1:16">
      <c r="A60" s="66" t="s">
        <v>1003</v>
      </c>
      <c r="B60" s="66" t="s">
        <v>17</v>
      </c>
      <c r="C60" s="66" t="s">
        <v>904</v>
      </c>
      <c r="D60" s="67" t="s">
        <v>18</v>
      </c>
      <c r="E60" s="66" t="s">
        <v>1004</v>
      </c>
      <c r="F60" s="66" t="s">
        <v>1005</v>
      </c>
      <c r="G60" s="66" t="s">
        <v>21</v>
      </c>
      <c r="H60" s="65">
        <v>400</v>
      </c>
      <c r="I60" s="66"/>
      <c r="J60" s="67" t="s">
        <v>1006</v>
      </c>
      <c r="K60" s="67">
        <v>5978</v>
      </c>
      <c r="L60" s="69" t="s">
        <v>22</v>
      </c>
      <c r="M60" s="67"/>
      <c r="N60" s="67"/>
      <c r="O60" s="67"/>
      <c r="P60" s="69" t="s">
        <v>23</v>
      </c>
    </row>
    <row r="61" s="59" customFormat="1" spans="1:16">
      <c r="A61" s="66" t="s">
        <v>1007</v>
      </c>
      <c r="B61" s="66" t="s">
        <v>17</v>
      </c>
      <c r="C61" s="66" t="s">
        <v>812</v>
      </c>
      <c r="D61" s="67" t="s">
        <v>18</v>
      </c>
      <c r="E61" s="66" t="s">
        <v>1008</v>
      </c>
      <c r="F61" s="66" t="s">
        <v>1009</v>
      </c>
      <c r="G61" s="66" t="s">
        <v>21</v>
      </c>
      <c r="H61" s="65">
        <v>215</v>
      </c>
      <c r="I61" s="66" t="s">
        <v>809</v>
      </c>
      <c r="J61" s="67" t="s">
        <v>1010</v>
      </c>
      <c r="K61" s="67">
        <v>5972.7</v>
      </c>
      <c r="L61" s="69" t="s">
        <v>31</v>
      </c>
      <c r="M61" s="69" t="s">
        <v>52</v>
      </c>
      <c r="N61" s="69" t="s">
        <v>23</v>
      </c>
      <c r="O61" s="69" t="s">
        <v>52</v>
      </c>
      <c r="P61" s="69" t="s">
        <v>21</v>
      </c>
    </row>
    <row r="62" s="59" customFormat="1" spans="1:16">
      <c r="A62" s="66" t="s">
        <v>1011</v>
      </c>
      <c r="B62" s="66" t="s">
        <v>17</v>
      </c>
      <c r="C62" s="66" t="s">
        <v>812</v>
      </c>
      <c r="D62" s="67" t="s">
        <v>18</v>
      </c>
      <c r="E62" s="66" t="s">
        <v>1012</v>
      </c>
      <c r="F62" s="66" t="s">
        <v>1013</v>
      </c>
      <c r="G62" s="66" t="s">
        <v>21</v>
      </c>
      <c r="H62" s="65">
        <v>300</v>
      </c>
      <c r="I62" s="69" t="s">
        <v>1014</v>
      </c>
      <c r="J62" s="67" t="s">
        <v>1015</v>
      </c>
      <c r="K62" s="67">
        <v>4170</v>
      </c>
      <c r="L62" s="69" t="s">
        <v>31</v>
      </c>
      <c r="M62" s="69" t="s">
        <v>52</v>
      </c>
      <c r="N62" s="69" t="s">
        <v>23</v>
      </c>
      <c r="O62" s="69" t="s">
        <v>52</v>
      </c>
      <c r="P62" s="69" t="s">
        <v>21</v>
      </c>
    </row>
    <row r="63" spans="1:16">
      <c r="A63" s="64" t="s">
        <v>1016</v>
      </c>
      <c r="B63" s="64" t="s">
        <v>17</v>
      </c>
      <c r="C63" s="64" t="s">
        <v>794</v>
      </c>
      <c r="D63" s="64" t="s">
        <v>28</v>
      </c>
      <c r="E63" s="64" t="s">
        <v>1017</v>
      </c>
      <c r="F63" s="64" t="s">
        <v>1018</v>
      </c>
      <c r="G63" s="64" t="s">
        <v>21</v>
      </c>
      <c r="H63" s="65">
        <v>30</v>
      </c>
      <c r="I63" s="66"/>
      <c r="J63" s="67" t="s">
        <v>1019</v>
      </c>
      <c r="K63" s="67">
        <v>250.8</v>
      </c>
      <c r="L63" s="68" t="s">
        <v>31</v>
      </c>
      <c r="M63" s="68" t="s">
        <v>32</v>
      </c>
      <c r="N63" s="68" t="s">
        <v>23</v>
      </c>
      <c r="O63" s="68" t="s">
        <v>32</v>
      </c>
      <c r="P63" s="68" t="s">
        <v>23</v>
      </c>
    </row>
    <row r="64" s="59" customFormat="1" spans="1:16">
      <c r="A64" s="66" t="s">
        <v>1020</v>
      </c>
      <c r="B64" s="66" t="s">
        <v>17</v>
      </c>
      <c r="C64" s="66" t="s">
        <v>858</v>
      </c>
      <c r="D64" s="67" t="s">
        <v>18</v>
      </c>
      <c r="E64" s="66" t="s">
        <v>1021</v>
      </c>
      <c r="F64" s="66" t="s">
        <v>1022</v>
      </c>
      <c r="G64" s="66" t="s">
        <v>23</v>
      </c>
      <c r="H64" s="65">
        <v>300</v>
      </c>
      <c r="I64" s="66"/>
      <c r="J64" s="67" t="s">
        <v>1023</v>
      </c>
      <c r="K64" s="67">
        <v>2460</v>
      </c>
      <c r="L64" s="69" t="s">
        <v>31</v>
      </c>
      <c r="M64" s="69" t="s">
        <v>75</v>
      </c>
      <c r="N64" s="69" t="s">
        <v>23</v>
      </c>
      <c r="O64" s="69" t="s">
        <v>75</v>
      </c>
      <c r="P64" s="69" t="s">
        <v>21</v>
      </c>
    </row>
    <row r="65" s="59" customFormat="1" spans="1:16">
      <c r="A65" s="66" t="s">
        <v>1024</v>
      </c>
      <c r="B65" s="66" t="s">
        <v>17</v>
      </c>
      <c r="C65" s="66" t="s">
        <v>812</v>
      </c>
      <c r="D65" s="67" t="s">
        <v>18</v>
      </c>
      <c r="E65" s="66" t="s">
        <v>1017</v>
      </c>
      <c r="F65" s="66" t="s">
        <v>1018</v>
      </c>
      <c r="G65" s="66" t="s">
        <v>21</v>
      </c>
      <c r="H65" s="65">
        <v>250</v>
      </c>
      <c r="I65" s="66"/>
      <c r="J65" s="67" t="s">
        <v>1019</v>
      </c>
      <c r="K65" s="67">
        <v>2090</v>
      </c>
      <c r="L65" s="69" t="s">
        <v>31</v>
      </c>
      <c r="M65" s="69" t="s">
        <v>52</v>
      </c>
      <c r="N65" s="69" t="s">
        <v>23</v>
      </c>
      <c r="O65" s="69" t="s">
        <v>52</v>
      </c>
      <c r="P65" s="69" t="s">
        <v>21</v>
      </c>
    </row>
    <row r="66" s="59" customFormat="1" spans="1:16">
      <c r="A66" s="66" t="s">
        <v>1025</v>
      </c>
      <c r="B66" s="66" t="s">
        <v>17</v>
      </c>
      <c r="C66" s="66" t="s">
        <v>812</v>
      </c>
      <c r="D66" s="67" t="s">
        <v>18</v>
      </c>
      <c r="E66" s="66" t="s">
        <v>1026</v>
      </c>
      <c r="F66" s="66" t="s">
        <v>1027</v>
      </c>
      <c r="G66" s="66" t="s">
        <v>21</v>
      </c>
      <c r="H66" s="65">
        <v>300</v>
      </c>
      <c r="I66" s="66"/>
      <c r="J66" s="67" t="s">
        <v>1028</v>
      </c>
      <c r="K66" s="67">
        <v>5113.5</v>
      </c>
      <c r="L66" s="69" t="s">
        <v>22</v>
      </c>
      <c r="M66" s="67"/>
      <c r="N66" s="67"/>
      <c r="O66" s="67"/>
      <c r="P66" s="69" t="s">
        <v>21</v>
      </c>
    </row>
    <row r="67" s="59" customFormat="1" spans="1:16">
      <c r="A67" s="66" t="s">
        <v>1029</v>
      </c>
      <c r="B67" s="66" t="s">
        <v>17</v>
      </c>
      <c r="C67" s="66" t="s">
        <v>904</v>
      </c>
      <c r="D67" s="67" t="s">
        <v>18</v>
      </c>
      <c r="E67" s="66" t="s">
        <v>1030</v>
      </c>
      <c r="F67" s="66" t="s">
        <v>1031</v>
      </c>
      <c r="G67" s="66" t="s">
        <v>21</v>
      </c>
      <c r="H67" s="65">
        <v>300</v>
      </c>
      <c r="I67" s="66"/>
      <c r="J67" s="67" t="s">
        <v>1032</v>
      </c>
      <c r="K67" s="67">
        <v>7306.5</v>
      </c>
      <c r="L67" s="69" t="s">
        <v>31</v>
      </c>
      <c r="M67" s="69" t="s">
        <v>52</v>
      </c>
      <c r="N67" s="69" t="s">
        <v>23</v>
      </c>
      <c r="O67" s="69" t="s">
        <v>52</v>
      </c>
      <c r="P67" s="69" t="s">
        <v>21</v>
      </c>
    </row>
    <row r="68" s="59" customFormat="1" spans="1:16">
      <c r="A68" s="66" t="s">
        <v>1033</v>
      </c>
      <c r="B68" s="66" t="s">
        <v>17</v>
      </c>
      <c r="C68" s="66" t="s">
        <v>904</v>
      </c>
      <c r="D68" s="67" t="s">
        <v>18</v>
      </c>
      <c r="E68" s="66" t="s">
        <v>1034</v>
      </c>
      <c r="F68" s="66" t="s">
        <v>1035</v>
      </c>
      <c r="G68" s="66" t="s">
        <v>21</v>
      </c>
      <c r="H68" s="65">
        <v>300</v>
      </c>
      <c r="I68" s="66"/>
      <c r="J68" s="67" t="s">
        <v>1036</v>
      </c>
      <c r="K68" s="67">
        <v>4666.5</v>
      </c>
      <c r="L68" s="69" t="s">
        <v>31</v>
      </c>
      <c r="M68" s="69" t="s">
        <v>52</v>
      </c>
      <c r="N68" s="69" t="s">
        <v>23</v>
      </c>
      <c r="O68" s="69" t="s">
        <v>52</v>
      </c>
      <c r="P68" s="69" t="s">
        <v>21</v>
      </c>
    </row>
    <row r="69" s="59" customFormat="1" spans="1:16">
      <c r="A69" s="66" t="s">
        <v>1037</v>
      </c>
      <c r="B69" s="66" t="s">
        <v>17</v>
      </c>
      <c r="C69" s="66" t="s">
        <v>904</v>
      </c>
      <c r="D69" s="67" t="s">
        <v>18</v>
      </c>
      <c r="E69" s="66" t="s">
        <v>1038</v>
      </c>
      <c r="F69" s="66" t="s">
        <v>1039</v>
      </c>
      <c r="G69" s="66" t="s">
        <v>21</v>
      </c>
      <c r="H69" s="65">
        <v>300</v>
      </c>
      <c r="I69" s="66"/>
      <c r="J69" s="67" t="s">
        <v>1036</v>
      </c>
      <c r="K69" s="67">
        <v>4666.5</v>
      </c>
      <c r="L69" s="69" t="s">
        <v>31</v>
      </c>
      <c r="M69" s="69" t="s">
        <v>52</v>
      </c>
      <c r="N69" s="69" t="s">
        <v>23</v>
      </c>
      <c r="O69" s="69" t="s">
        <v>52</v>
      </c>
      <c r="P69" s="69" t="s">
        <v>21</v>
      </c>
    </row>
    <row r="70" s="59" customFormat="1" spans="1:16">
      <c r="A70" s="66" t="s">
        <v>1040</v>
      </c>
      <c r="B70" s="66" t="s">
        <v>17</v>
      </c>
      <c r="C70" s="66" t="s">
        <v>904</v>
      </c>
      <c r="D70" s="67" t="s">
        <v>18</v>
      </c>
      <c r="E70" s="66" t="s">
        <v>1041</v>
      </c>
      <c r="F70" s="66" t="s">
        <v>1042</v>
      </c>
      <c r="G70" s="66" t="s">
        <v>21</v>
      </c>
      <c r="H70" s="65">
        <v>350</v>
      </c>
      <c r="I70" s="66"/>
      <c r="J70" s="67" t="s">
        <v>1043</v>
      </c>
      <c r="K70" s="67">
        <v>10064.25</v>
      </c>
      <c r="L70" s="69" t="s">
        <v>31</v>
      </c>
      <c r="M70" s="69" t="s">
        <v>52</v>
      </c>
      <c r="N70" s="69" t="s">
        <v>23</v>
      </c>
      <c r="O70" s="69" t="s">
        <v>52</v>
      </c>
      <c r="P70" s="69" t="s">
        <v>21</v>
      </c>
    </row>
    <row r="71" s="59" customFormat="1" spans="1:16">
      <c r="A71" s="66" t="s">
        <v>1044</v>
      </c>
      <c r="B71" s="66" t="s">
        <v>58</v>
      </c>
      <c r="C71" s="66" t="s">
        <v>812</v>
      </c>
      <c r="D71" s="67" t="s">
        <v>18</v>
      </c>
      <c r="E71" s="66" t="s">
        <v>1045</v>
      </c>
      <c r="F71" s="66" t="s">
        <v>1046</v>
      </c>
      <c r="G71" s="66" t="s">
        <v>21</v>
      </c>
      <c r="H71" s="65">
        <v>200</v>
      </c>
      <c r="I71" s="66"/>
      <c r="J71" s="67" t="s">
        <v>1047</v>
      </c>
      <c r="K71" s="67">
        <v>6042.76</v>
      </c>
      <c r="L71" s="69" t="s">
        <v>31</v>
      </c>
      <c r="M71" s="69" t="s">
        <v>52</v>
      </c>
      <c r="N71" s="69" t="s">
        <v>23</v>
      </c>
      <c r="O71" s="69" t="s">
        <v>52</v>
      </c>
      <c r="P71" s="69" t="s">
        <v>21</v>
      </c>
    </row>
    <row r="72" spans="1:16">
      <c r="A72" s="64" t="s">
        <v>1048</v>
      </c>
      <c r="B72" s="64" t="s">
        <v>17</v>
      </c>
      <c r="C72" s="64" t="s">
        <v>794</v>
      </c>
      <c r="D72" s="64" t="s">
        <v>28</v>
      </c>
      <c r="E72" s="64" t="s">
        <v>1049</v>
      </c>
      <c r="F72" s="64" t="s">
        <v>1050</v>
      </c>
      <c r="G72" s="64" t="s">
        <v>21</v>
      </c>
      <c r="H72" s="65">
        <v>100</v>
      </c>
      <c r="I72" s="66"/>
      <c r="J72" s="67" t="s">
        <v>1051</v>
      </c>
      <c r="K72" s="67">
        <v>1464.6</v>
      </c>
      <c r="L72" s="68" t="s">
        <v>31</v>
      </c>
      <c r="M72" s="68" t="s">
        <v>32</v>
      </c>
      <c r="N72" s="68" t="s">
        <v>23</v>
      </c>
      <c r="O72" s="68" t="s">
        <v>32</v>
      </c>
      <c r="P72" s="68" t="s">
        <v>23</v>
      </c>
    </row>
    <row r="73" s="59" customFormat="1" spans="1:16">
      <c r="A73" s="66" t="s">
        <v>1052</v>
      </c>
      <c r="B73" s="66" t="s">
        <v>58</v>
      </c>
      <c r="C73" s="66" t="s">
        <v>812</v>
      </c>
      <c r="D73" s="67" t="s">
        <v>18</v>
      </c>
      <c r="E73" s="66" t="s">
        <v>1049</v>
      </c>
      <c r="F73" s="66" t="s">
        <v>1050</v>
      </c>
      <c r="G73" s="66" t="s">
        <v>21</v>
      </c>
      <c r="H73" s="65">
        <v>500</v>
      </c>
      <c r="I73" s="66"/>
      <c r="J73" s="67" t="s">
        <v>1051</v>
      </c>
      <c r="K73" s="67">
        <v>7323</v>
      </c>
      <c r="L73" s="69" t="s">
        <v>31</v>
      </c>
      <c r="M73" s="67"/>
      <c r="N73" s="67"/>
      <c r="O73" s="67"/>
      <c r="P73" s="69" t="s">
        <v>21</v>
      </c>
    </row>
    <row r="74" spans="1:16">
      <c r="A74" s="64" t="s">
        <v>1053</v>
      </c>
      <c r="B74" s="64" t="s">
        <v>17</v>
      </c>
      <c r="C74" s="64" t="s">
        <v>849</v>
      </c>
      <c r="D74" s="64" t="s">
        <v>28</v>
      </c>
      <c r="E74" s="64" t="s">
        <v>854</v>
      </c>
      <c r="F74" s="64" t="s">
        <v>855</v>
      </c>
      <c r="G74" s="64" t="s">
        <v>21</v>
      </c>
      <c r="H74" s="65">
        <v>100</v>
      </c>
      <c r="I74" s="66" t="s">
        <v>846</v>
      </c>
      <c r="J74" s="67" t="s">
        <v>856</v>
      </c>
      <c r="K74" s="67">
        <v>2276.98</v>
      </c>
      <c r="L74" s="68" t="s">
        <v>31</v>
      </c>
      <c r="M74" s="68" t="s">
        <v>32</v>
      </c>
      <c r="N74" s="68" t="s">
        <v>23</v>
      </c>
      <c r="O74" s="68" t="s">
        <v>32</v>
      </c>
      <c r="P74" s="68" t="s">
        <v>23</v>
      </c>
    </row>
    <row r="75" spans="1:16">
      <c r="A75" s="64" t="s">
        <v>1054</v>
      </c>
      <c r="B75" s="64" t="s">
        <v>17</v>
      </c>
      <c r="C75" s="64" t="s">
        <v>849</v>
      </c>
      <c r="D75" s="64" t="s">
        <v>28</v>
      </c>
      <c r="E75" s="64" t="s">
        <v>932</v>
      </c>
      <c r="F75" s="64" t="s">
        <v>933</v>
      </c>
      <c r="G75" s="64" t="s">
        <v>21</v>
      </c>
      <c r="H75" s="65">
        <v>100</v>
      </c>
      <c r="I75" s="66" t="s">
        <v>846</v>
      </c>
      <c r="J75" s="67" t="s">
        <v>934</v>
      </c>
      <c r="K75" s="67">
        <v>2836.98</v>
      </c>
      <c r="L75" s="68" t="s">
        <v>31</v>
      </c>
      <c r="M75" s="68" t="s">
        <v>32</v>
      </c>
      <c r="N75" s="68" t="s">
        <v>23</v>
      </c>
      <c r="O75" s="68" t="s">
        <v>32</v>
      </c>
      <c r="P75" s="68" t="s">
        <v>23</v>
      </c>
    </row>
    <row r="76" spans="1:16">
      <c r="A76" s="64" t="s">
        <v>1055</v>
      </c>
      <c r="B76" s="64" t="s">
        <v>17</v>
      </c>
      <c r="C76" s="64" t="s">
        <v>794</v>
      </c>
      <c r="D76" s="64" t="s">
        <v>28</v>
      </c>
      <c r="E76" s="64" t="s">
        <v>1056</v>
      </c>
      <c r="F76" s="64" t="s">
        <v>1057</v>
      </c>
      <c r="G76" s="64" t="s">
        <v>21</v>
      </c>
      <c r="H76" s="65">
        <v>150</v>
      </c>
      <c r="I76" s="66"/>
      <c r="J76" s="67" t="s">
        <v>1058</v>
      </c>
      <c r="K76" s="67">
        <v>1554</v>
      </c>
      <c r="L76" s="68" t="s">
        <v>31</v>
      </c>
      <c r="M76" s="68" t="s">
        <v>32</v>
      </c>
      <c r="N76" s="68" t="s">
        <v>23</v>
      </c>
      <c r="O76" s="68" t="s">
        <v>32</v>
      </c>
      <c r="P76" s="68" t="s">
        <v>23</v>
      </c>
    </row>
    <row r="77" spans="1:16">
      <c r="A77" s="64" t="s">
        <v>1059</v>
      </c>
      <c r="B77" s="64" t="s">
        <v>17</v>
      </c>
      <c r="C77" s="64" t="s">
        <v>794</v>
      </c>
      <c r="D77" s="64" t="s">
        <v>28</v>
      </c>
      <c r="E77" s="64" t="s">
        <v>176</v>
      </c>
      <c r="F77" s="64" t="s">
        <v>177</v>
      </c>
      <c r="G77" s="64" t="s">
        <v>21</v>
      </c>
      <c r="H77" s="65">
        <v>120</v>
      </c>
      <c r="I77" s="66"/>
      <c r="J77" s="67" t="s">
        <v>984</v>
      </c>
      <c r="K77" s="67">
        <v>1490.04</v>
      </c>
      <c r="L77" s="68" t="s">
        <v>31</v>
      </c>
      <c r="M77" s="68" t="s">
        <v>32</v>
      </c>
      <c r="N77" s="68" t="s">
        <v>23</v>
      </c>
      <c r="O77" s="68" t="s">
        <v>32</v>
      </c>
      <c r="P77" s="68" t="s">
        <v>23</v>
      </c>
    </row>
    <row r="78" spans="1:16">
      <c r="A78" s="64" t="s">
        <v>1060</v>
      </c>
      <c r="B78" s="64" t="s">
        <v>17</v>
      </c>
      <c r="C78" s="64" t="s">
        <v>794</v>
      </c>
      <c r="D78" s="64" t="s">
        <v>28</v>
      </c>
      <c r="E78" s="64" t="s">
        <v>928</v>
      </c>
      <c r="F78" s="64" t="s">
        <v>929</v>
      </c>
      <c r="G78" s="64" t="s">
        <v>21</v>
      </c>
      <c r="H78" s="65">
        <v>120</v>
      </c>
      <c r="I78" s="66"/>
      <c r="J78" s="67" t="s">
        <v>930</v>
      </c>
      <c r="K78" s="67">
        <v>865.92</v>
      </c>
      <c r="L78" s="68" t="s">
        <v>31</v>
      </c>
      <c r="M78" s="68" t="s">
        <v>32</v>
      </c>
      <c r="N78" s="68" t="s">
        <v>23</v>
      </c>
      <c r="O78" s="68" t="s">
        <v>32</v>
      </c>
      <c r="P78" s="68" t="s">
        <v>23</v>
      </c>
    </row>
    <row r="79" spans="1:16">
      <c r="A79" s="64" t="s">
        <v>1061</v>
      </c>
      <c r="B79" s="64" t="s">
        <v>17</v>
      </c>
      <c r="C79" s="64" t="s">
        <v>794</v>
      </c>
      <c r="D79" s="64" t="s">
        <v>28</v>
      </c>
      <c r="E79" s="64" t="s">
        <v>973</v>
      </c>
      <c r="F79" s="64" t="s">
        <v>974</v>
      </c>
      <c r="G79" s="64" t="s">
        <v>21</v>
      </c>
      <c r="H79" s="65">
        <v>100</v>
      </c>
      <c r="I79" s="66" t="s">
        <v>846</v>
      </c>
      <c r="J79" s="67" t="s">
        <v>938</v>
      </c>
      <c r="K79" s="67">
        <v>754.5</v>
      </c>
      <c r="L79" s="68" t="s">
        <v>31</v>
      </c>
      <c r="M79" s="68" t="s">
        <v>32</v>
      </c>
      <c r="N79" s="68" t="s">
        <v>23</v>
      </c>
      <c r="O79" s="68" t="s">
        <v>32</v>
      </c>
      <c r="P79" s="68" t="s">
        <v>23</v>
      </c>
    </row>
    <row r="80" spans="1:16">
      <c r="A80" s="64" t="s">
        <v>1062</v>
      </c>
      <c r="B80" s="64" t="s">
        <v>17</v>
      </c>
      <c r="C80" s="64" t="s">
        <v>794</v>
      </c>
      <c r="D80" s="64" t="s">
        <v>28</v>
      </c>
      <c r="E80" s="64" t="s">
        <v>1063</v>
      </c>
      <c r="F80" s="64" t="s">
        <v>1064</v>
      </c>
      <c r="G80" s="64" t="s">
        <v>21</v>
      </c>
      <c r="H80" s="65">
        <v>120</v>
      </c>
      <c r="I80" s="66" t="s">
        <v>846</v>
      </c>
      <c r="J80" s="67" t="s">
        <v>1065</v>
      </c>
      <c r="K80" s="67">
        <v>1265.4</v>
      </c>
      <c r="L80" s="68" t="s">
        <v>31</v>
      </c>
      <c r="M80" s="68" t="s">
        <v>32</v>
      </c>
      <c r="N80" s="68" t="s">
        <v>23</v>
      </c>
      <c r="O80" s="68" t="s">
        <v>32</v>
      </c>
      <c r="P80" s="68" t="s">
        <v>23</v>
      </c>
    </row>
    <row r="81" s="59" customFormat="1" spans="1:16">
      <c r="A81" s="66" t="s">
        <v>1066</v>
      </c>
      <c r="B81" s="66" t="s">
        <v>17</v>
      </c>
      <c r="C81" s="66" t="s">
        <v>904</v>
      </c>
      <c r="D81" s="67" t="s">
        <v>18</v>
      </c>
      <c r="E81" s="66" t="s">
        <v>1067</v>
      </c>
      <c r="F81" s="66" t="s">
        <v>1068</v>
      </c>
      <c r="G81" s="66" t="s">
        <v>21</v>
      </c>
      <c r="H81" s="65">
        <v>500</v>
      </c>
      <c r="I81" s="66" t="s">
        <v>809</v>
      </c>
      <c r="J81" s="67" t="s">
        <v>1043</v>
      </c>
      <c r="K81" s="67">
        <v>14377.5</v>
      </c>
      <c r="L81" s="69" t="s">
        <v>31</v>
      </c>
      <c r="M81" s="69" t="s">
        <v>52</v>
      </c>
      <c r="N81" s="69" t="s">
        <v>23</v>
      </c>
      <c r="O81" s="69" t="s">
        <v>52</v>
      </c>
      <c r="P81" s="69" t="s">
        <v>21</v>
      </c>
    </row>
    <row r="82" s="59" customFormat="1" spans="1:16">
      <c r="A82" s="66" t="s">
        <v>1069</v>
      </c>
      <c r="B82" s="66" t="s">
        <v>17</v>
      </c>
      <c r="C82" s="66" t="s">
        <v>904</v>
      </c>
      <c r="D82" s="67" t="s">
        <v>18</v>
      </c>
      <c r="E82" s="66" t="s">
        <v>1070</v>
      </c>
      <c r="F82" s="66" t="s">
        <v>1071</v>
      </c>
      <c r="G82" s="66" t="s">
        <v>21</v>
      </c>
      <c r="H82" s="65">
        <v>420</v>
      </c>
      <c r="I82" s="66" t="s">
        <v>809</v>
      </c>
      <c r="J82" s="67" t="s">
        <v>1072</v>
      </c>
      <c r="K82" s="67">
        <v>6113.1</v>
      </c>
      <c r="L82" s="69" t="s">
        <v>31</v>
      </c>
      <c r="M82" s="69" t="s">
        <v>52</v>
      </c>
      <c r="N82" s="69" t="s">
        <v>23</v>
      </c>
      <c r="O82" s="69" t="s">
        <v>52</v>
      </c>
      <c r="P82" s="69" t="s">
        <v>21</v>
      </c>
    </row>
    <row r="83" s="59" customFormat="1" spans="1:16">
      <c r="A83" s="66" t="s">
        <v>1073</v>
      </c>
      <c r="B83" s="66" t="s">
        <v>17</v>
      </c>
      <c r="C83" s="66" t="s">
        <v>904</v>
      </c>
      <c r="D83" s="67" t="s">
        <v>18</v>
      </c>
      <c r="E83" s="66" t="s">
        <v>1074</v>
      </c>
      <c r="F83" s="66" t="s">
        <v>456</v>
      </c>
      <c r="G83" s="66" t="s">
        <v>21</v>
      </c>
      <c r="H83" s="65">
        <v>507</v>
      </c>
      <c r="I83" s="66" t="s">
        <v>809</v>
      </c>
      <c r="J83" s="67" t="s">
        <v>1075</v>
      </c>
      <c r="K83" s="67">
        <v>15035.0343</v>
      </c>
      <c r="L83" s="69" t="s">
        <v>31</v>
      </c>
      <c r="M83" s="69" t="s">
        <v>52</v>
      </c>
      <c r="N83" s="69" t="s">
        <v>23</v>
      </c>
      <c r="O83" s="69" t="s">
        <v>52</v>
      </c>
      <c r="P83" s="69" t="s">
        <v>21</v>
      </c>
    </row>
    <row r="84" s="59" customFormat="1" spans="1:16">
      <c r="A84" s="66" t="s">
        <v>1076</v>
      </c>
      <c r="B84" s="66" t="s">
        <v>17</v>
      </c>
      <c r="C84" s="66" t="s">
        <v>904</v>
      </c>
      <c r="D84" s="67" t="s">
        <v>18</v>
      </c>
      <c r="E84" s="66" t="s">
        <v>1077</v>
      </c>
      <c r="F84" s="66" t="s">
        <v>459</v>
      </c>
      <c r="G84" s="66" t="s">
        <v>21</v>
      </c>
      <c r="H84" s="65">
        <v>420</v>
      </c>
      <c r="I84" s="66" t="s">
        <v>809</v>
      </c>
      <c r="J84" s="67" t="s">
        <v>1078</v>
      </c>
      <c r="K84" s="67">
        <v>6911.058</v>
      </c>
      <c r="L84" s="69" t="s">
        <v>31</v>
      </c>
      <c r="M84" s="69" t="s">
        <v>52</v>
      </c>
      <c r="N84" s="69" t="s">
        <v>23</v>
      </c>
      <c r="O84" s="69" t="s">
        <v>52</v>
      </c>
      <c r="P84" s="69" t="s">
        <v>21</v>
      </c>
    </row>
    <row r="85" s="59" customFormat="1" spans="1:16">
      <c r="A85" s="66" t="s">
        <v>1079</v>
      </c>
      <c r="B85" s="66" t="s">
        <v>17</v>
      </c>
      <c r="C85" s="66" t="s">
        <v>904</v>
      </c>
      <c r="D85" s="67" t="s">
        <v>18</v>
      </c>
      <c r="E85" s="66" t="s">
        <v>1080</v>
      </c>
      <c r="F85" s="66" t="s">
        <v>462</v>
      </c>
      <c r="G85" s="66" t="s">
        <v>21</v>
      </c>
      <c r="H85" s="65">
        <v>420</v>
      </c>
      <c r="I85" s="66" t="s">
        <v>809</v>
      </c>
      <c r="J85" s="67" t="s">
        <v>1081</v>
      </c>
      <c r="K85" s="67">
        <v>10607.058</v>
      </c>
      <c r="L85" s="69" t="s">
        <v>31</v>
      </c>
      <c r="M85" s="69" t="s">
        <v>52</v>
      </c>
      <c r="N85" s="69" t="s">
        <v>23</v>
      </c>
      <c r="O85" s="69" t="s">
        <v>52</v>
      </c>
      <c r="P85" s="69" t="s">
        <v>21</v>
      </c>
    </row>
    <row r="86" spans="1:16">
      <c r="A86" s="64" t="s">
        <v>1082</v>
      </c>
      <c r="B86" s="64" t="s">
        <v>17</v>
      </c>
      <c r="C86" s="64" t="s">
        <v>794</v>
      </c>
      <c r="D86" s="64" t="s">
        <v>28</v>
      </c>
      <c r="E86" s="64" t="s">
        <v>1083</v>
      </c>
      <c r="F86" s="64" t="s">
        <v>1084</v>
      </c>
      <c r="G86" s="64" t="s">
        <v>21</v>
      </c>
      <c r="H86" s="65">
        <v>30</v>
      </c>
      <c r="I86" s="66" t="s">
        <v>846</v>
      </c>
      <c r="J86" s="67" t="s">
        <v>1085</v>
      </c>
      <c r="K86" s="67">
        <v>265.35</v>
      </c>
      <c r="L86" s="68" t="s">
        <v>31</v>
      </c>
      <c r="M86" s="68" t="s">
        <v>32</v>
      </c>
      <c r="N86" s="68" t="s">
        <v>23</v>
      </c>
      <c r="O86" s="68" t="s">
        <v>32</v>
      </c>
      <c r="P86" s="68" t="s">
        <v>23</v>
      </c>
    </row>
    <row r="87" s="59" customFormat="1" spans="1:16">
      <c r="A87" s="66" t="s">
        <v>1086</v>
      </c>
      <c r="B87" s="66" t="s">
        <v>49</v>
      </c>
      <c r="C87" s="66" t="s">
        <v>867</v>
      </c>
      <c r="D87" s="67" t="s">
        <v>18</v>
      </c>
      <c r="E87" s="66" t="s">
        <v>1087</v>
      </c>
      <c r="F87" s="66" t="s">
        <v>1088</v>
      </c>
      <c r="G87" s="66" t="s">
        <v>21</v>
      </c>
      <c r="H87" s="65">
        <v>200</v>
      </c>
      <c r="I87" s="66"/>
      <c r="J87" s="67" t="s">
        <v>1089</v>
      </c>
      <c r="K87" s="67">
        <v>4335</v>
      </c>
      <c r="L87" s="69" t="s">
        <v>31</v>
      </c>
      <c r="M87" s="69" t="s">
        <v>52</v>
      </c>
      <c r="N87" s="69" t="s">
        <v>23</v>
      </c>
      <c r="O87" s="67" t="s">
        <v>52</v>
      </c>
      <c r="P87" s="69" t="s">
        <v>21</v>
      </c>
    </row>
    <row r="88" s="59" customFormat="1" spans="1:16">
      <c r="A88" s="66" t="s">
        <v>1090</v>
      </c>
      <c r="B88" s="66" t="s">
        <v>49</v>
      </c>
      <c r="C88" s="66" t="s">
        <v>867</v>
      </c>
      <c r="D88" s="67" t="s">
        <v>18</v>
      </c>
      <c r="E88" s="66" t="s">
        <v>1091</v>
      </c>
      <c r="F88" s="66" t="s">
        <v>1092</v>
      </c>
      <c r="G88" s="66" t="s">
        <v>21</v>
      </c>
      <c r="H88" s="65">
        <v>100</v>
      </c>
      <c r="I88" s="66"/>
      <c r="J88" s="67" t="s">
        <v>1093</v>
      </c>
      <c r="K88" s="67">
        <v>3041.5</v>
      </c>
      <c r="L88" s="69" t="s">
        <v>31</v>
      </c>
      <c r="M88" s="69" t="s">
        <v>52</v>
      </c>
      <c r="N88" s="69" t="s">
        <v>23</v>
      </c>
      <c r="O88" s="67" t="s">
        <v>52</v>
      </c>
      <c r="P88" s="69" t="s">
        <v>21</v>
      </c>
    </row>
    <row r="89" s="59" customFormat="1" spans="1:16">
      <c r="A89" s="66" t="s">
        <v>1094</v>
      </c>
      <c r="B89" s="66" t="s">
        <v>17</v>
      </c>
      <c r="C89" s="66" t="s">
        <v>946</v>
      </c>
      <c r="D89" s="67" t="s">
        <v>18</v>
      </c>
      <c r="E89" s="66" t="s">
        <v>1095</v>
      </c>
      <c r="F89" s="66" t="s">
        <v>1096</v>
      </c>
      <c r="G89" s="66" t="s">
        <v>21</v>
      </c>
      <c r="H89" s="65">
        <v>250</v>
      </c>
      <c r="I89" s="66"/>
      <c r="J89" s="67" t="s">
        <v>1097</v>
      </c>
      <c r="K89" s="67">
        <v>4957.525</v>
      </c>
      <c r="L89" s="69" t="s">
        <v>31</v>
      </c>
      <c r="M89" s="69" t="s">
        <v>52</v>
      </c>
      <c r="N89" s="69" t="s">
        <v>23</v>
      </c>
      <c r="O89" s="69" t="s">
        <v>52</v>
      </c>
      <c r="P89" s="69" t="s">
        <v>21</v>
      </c>
    </row>
    <row r="90" s="59" customFormat="1" spans="1:16">
      <c r="A90" s="66" t="s">
        <v>1098</v>
      </c>
      <c r="B90" s="66" t="s">
        <v>17</v>
      </c>
      <c r="C90" s="66" t="s">
        <v>904</v>
      </c>
      <c r="D90" s="67" t="s">
        <v>18</v>
      </c>
      <c r="E90" s="66" t="s">
        <v>1099</v>
      </c>
      <c r="F90" s="66" t="s">
        <v>1100</v>
      </c>
      <c r="G90" s="66" t="s">
        <v>21</v>
      </c>
      <c r="H90" s="65">
        <v>350</v>
      </c>
      <c r="I90" s="66" t="s">
        <v>809</v>
      </c>
      <c r="J90" s="67" t="s">
        <v>1101</v>
      </c>
      <c r="K90" s="67">
        <v>8875.3</v>
      </c>
      <c r="L90" s="69" t="s">
        <v>31</v>
      </c>
      <c r="M90" s="69" t="s">
        <v>75</v>
      </c>
      <c r="N90" s="69" t="s">
        <v>23</v>
      </c>
      <c r="O90" s="69" t="s">
        <v>75</v>
      </c>
      <c r="P90" s="69" t="s">
        <v>21</v>
      </c>
    </row>
    <row r="91" spans="1:16">
      <c r="A91" s="64" t="s">
        <v>1102</v>
      </c>
      <c r="B91" s="64" t="s">
        <v>17</v>
      </c>
      <c r="C91" s="64" t="s">
        <v>794</v>
      </c>
      <c r="D91" s="64" t="s">
        <v>28</v>
      </c>
      <c r="E91" s="64" t="s">
        <v>1103</v>
      </c>
      <c r="F91" s="64" t="s">
        <v>1104</v>
      </c>
      <c r="G91" s="64" t="s">
        <v>21</v>
      </c>
      <c r="H91" s="65">
        <v>300</v>
      </c>
      <c r="I91" s="66"/>
      <c r="J91" s="67" t="s">
        <v>1105</v>
      </c>
      <c r="K91" s="67">
        <v>5957.4</v>
      </c>
      <c r="L91" s="68" t="s">
        <v>31</v>
      </c>
      <c r="M91" s="68" t="s">
        <v>32</v>
      </c>
      <c r="N91" s="68" t="s">
        <v>23</v>
      </c>
      <c r="O91" s="68" t="s">
        <v>32</v>
      </c>
      <c r="P91" s="68" t="s">
        <v>23</v>
      </c>
    </row>
    <row r="92" spans="1:16">
      <c r="A92" s="64" t="s">
        <v>1106</v>
      </c>
      <c r="B92" s="64" t="s">
        <v>17</v>
      </c>
      <c r="C92" s="64" t="s">
        <v>794</v>
      </c>
      <c r="D92" s="64" t="s">
        <v>28</v>
      </c>
      <c r="E92" s="64" t="s">
        <v>1107</v>
      </c>
      <c r="F92" s="64" t="s">
        <v>1108</v>
      </c>
      <c r="G92" s="64" t="s">
        <v>21</v>
      </c>
      <c r="H92" s="65">
        <v>30</v>
      </c>
      <c r="I92" s="66"/>
      <c r="J92" s="67" t="s">
        <v>1109</v>
      </c>
      <c r="K92" s="67">
        <v>439.35</v>
      </c>
      <c r="L92" s="68" t="s">
        <v>31</v>
      </c>
      <c r="M92" s="68" t="s">
        <v>32</v>
      </c>
      <c r="N92" s="68" t="s">
        <v>23</v>
      </c>
      <c r="O92" s="68" t="s">
        <v>32</v>
      </c>
      <c r="P92" s="68" t="s">
        <v>23</v>
      </c>
    </row>
    <row r="93" s="59" customFormat="1" spans="1:16">
      <c r="A93" s="66" t="s">
        <v>1110</v>
      </c>
      <c r="B93" s="66" t="s">
        <v>17</v>
      </c>
      <c r="C93" s="66" t="s">
        <v>946</v>
      </c>
      <c r="D93" s="67" t="s">
        <v>18</v>
      </c>
      <c r="E93" s="66" t="s">
        <v>1111</v>
      </c>
      <c r="F93" s="66" t="s">
        <v>1112</v>
      </c>
      <c r="G93" s="66" t="s">
        <v>21</v>
      </c>
      <c r="H93" s="65">
        <v>200</v>
      </c>
      <c r="I93" s="69" t="s">
        <v>1014</v>
      </c>
      <c r="J93" s="67" t="s">
        <v>1113</v>
      </c>
      <c r="K93" s="67">
        <v>4767</v>
      </c>
      <c r="L93" s="69" t="s">
        <v>31</v>
      </c>
      <c r="M93" s="69" t="s">
        <v>125</v>
      </c>
      <c r="N93" s="69" t="s">
        <v>23</v>
      </c>
      <c r="O93" s="69" t="s">
        <v>125</v>
      </c>
      <c r="P93" s="69" t="s">
        <v>21</v>
      </c>
    </row>
    <row r="94" s="59" customFormat="1" spans="1:16">
      <c r="A94" s="66" t="s">
        <v>1114</v>
      </c>
      <c r="B94" s="66" t="s">
        <v>17</v>
      </c>
      <c r="C94" s="66" t="s">
        <v>946</v>
      </c>
      <c r="D94" s="67" t="s">
        <v>18</v>
      </c>
      <c r="E94" s="66" t="s">
        <v>1107</v>
      </c>
      <c r="F94" s="66" t="s">
        <v>1108</v>
      </c>
      <c r="G94" s="66" t="s">
        <v>21</v>
      </c>
      <c r="H94" s="65">
        <v>300</v>
      </c>
      <c r="I94" s="69" t="s">
        <v>1014</v>
      </c>
      <c r="J94" s="67" t="s">
        <v>1109</v>
      </c>
      <c r="K94" s="67">
        <v>4393.5</v>
      </c>
      <c r="L94" s="69" t="s">
        <v>31</v>
      </c>
      <c r="M94" s="69" t="s">
        <v>125</v>
      </c>
      <c r="N94" s="69" t="s">
        <v>23</v>
      </c>
      <c r="O94" s="69" t="s">
        <v>125</v>
      </c>
      <c r="P94" s="69" t="s">
        <v>21</v>
      </c>
    </row>
    <row r="95" s="59" customFormat="1" spans="1:16">
      <c r="A95" s="66" t="s">
        <v>1115</v>
      </c>
      <c r="B95" s="66" t="s">
        <v>17</v>
      </c>
      <c r="C95" s="66" t="s">
        <v>946</v>
      </c>
      <c r="D95" s="67" t="s">
        <v>18</v>
      </c>
      <c r="E95" s="66" t="s">
        <v>1116</v>
      </c>
      <c r="F95" s="66" t="s">
        <v>1117</v>
      </c>
      <c r="G95" s="66" t="s">
        <v>21</v>
      </c>
      <c r="H95" s="65">
        <v>300</v>
      </c>
      <c r="I95" s="66"/>
      <c r="J95" s="67" t="s">
        <v>1118</v>
      </c>
      <c r="K95" s="67">
        <v>6433.5</v>
      </c>
      <c r="L95" s="69" t="s">
        <v>22</v>
      </c>
      <c r="M95" s="67"/>
      <c r="N95" s="67"/>
      <c r="O95" s="67"/>
      <c r="P95" s="69" t="s">
        <v>21</v>
      </c>
    </row>
    <row r="96" s="59" customFormat="1" spans="1:16">
      <c r="A96" s="66" t="s">
        <v>1119</v>
      </c>
      <c r="B96" s="66" t="s">
        <v>17</v>
      </c>
      <c r="C96" s="66" t="s">
        <v>946</v>
      </c>
      <c r="D96" s="67" t="s">
        <v>18</v>
      </c>
      <c r="E96" s="66" t="s">
        <v>1120</v>
      </c>
      <c r="F96" s="66" t="s">
        <v>1121</v>
      </c>
      <c r="G96" s="66" t="s">
        <v>21</v>
      </c>
      <c r="H96" s="65">
        <v>250</v>
      </c>
      <c r="I96" s="66"/>
      <c r="J96" s="67" t="s">
        <v>1122</v>
      </c>
      <c r="K96" s="67">
        <v>4036.25</v>
      </c>
      <c r="L96" s="69" t="s">
        <v>22</v>
      </c>
      <c r="M96" s="67"/>
      <c r="N96" s="67"/>
      <c r="O96" s="67"/>
      <c r="P96" s="69" t="s">
        <v>21</v>
      </c>
    </row>
    <row r="97" s="59" customFormat="1" spans="1:16">
      <c r="A97" s="66" t="s">
        <v>1123</v>
      </c>
      <c r="B97" s="66" t="s">
        <v>17</v>
      </c>
      <c r="C97" s="66" t="s">
        <v>946</v>
      </c>
      <c r="D97" s="67" t="s">
        <v>18</v>
      </c>
      <c r="E97" s="66" t="s">
        <v>1124</v>
      </c>
      <c r="F97" s="66" t="s">
        <v>1125</v>
      </c>
      <c r="G97" s="66" t="s">
        <v>21</v>
      </c>
      <c r="H97" s="65">
        <v>300</v>
      </c>
      <c r="I97" s="66"/>
      <c r="J97" s="67" t="s">
        <v>1126</v>
      </c>
      <c r="K97" s="67">
        <v>3223.5</v>
      </c>
      <c r="L97" s="69" t="s">
        <v>22</v>
      </c>
      <c r="M97" s="67"/>
      <c r="N97" s="67"/>
      <c r="O97" s="67"/>
      <c r="P97" s="69" t="s">
        <v>21</v>
      </c>
    </row>
    <row r="98" spans="1:16">
      <c r="A98" s="64" t="s">
        <v>1127</v>
      </c>
      <c r="B98" s="64" t="s">
        <v>17</v>
      </c>
      <c r="C98" s="64" t="s">
        <v>794</v>
      </c>
      <c r="D98" s="64" t="s">
        <v>28</v>
      </c>
      <c r="E98" s="64" t="s">
        <v>1128</v>
      </c>
      <c r="F98" s="64" t="s">
        <v>1129</v>
      </c>
      <c r="G98" s="64" t="s">
        <v>21</v>
      </c>
      <c r="H98" s="65">
        <v>200</v>
      </c>
      <c r="I98" s="66" t="s">
        <v>809</v>
      </c>
      <c r="J98" s="67" t="s">
        <v>1130</v>
      </c>
      <c r="K98" s="67">
        <v>2540</v>
      </c>
      <c r="L98" s="68" t="s">
        <v>31</v>
      </c>
      <c r="M98" s="68" t="s">
        <v>32</v>
      </c>
      <c r="N98" s="68" t="s">
        <v>23</v>
      </c>
      <c r="O98" s="68" t="s">
        <v>32</v>
      </c>
      <c r="P98" s="68" t="s">
        <v>23</v>
      </c>
    </row>
    <row r="99" spans="1:16">
      <c r="A99" s="64" t="s">
        <v>1131</v>
      </c>
      <c r="B99" s="64" t="s">
        <v>17</v>
      </c>
      <c r="C99" s="64" t="s">
        <v>794</v>
      </c>
      <c r="D99" s="64" t="s">
        <v>28</v>
      </c>
      <c r="E99" s="64" t="s">
        <v>1132</v>
      </c>
      <c r="F99" s="64" t="s">
        <v>1133</v>
      </c>
      <c r="G99" s="64" t="s">
        <v>21</v>
      </c>
      <c r="H99" s="65">
        <v>120</v>
      </c>
      <c r="I99" s="66"/>
      <c r="J99" s="67" t="s">
        <v>1134</v>
      </c>
      <c r="K99" s="67">
        <v>2585.4</v>
      </c>
      <c r="L99" s="68" t="s">
        <v>31</v>
      </c>
      <c r="M99" s="68" t="s">
        <v>32</v>
      </c>
      <c r="N99" s="68" t="s">
        <v>23</v>
      </c>
      <c r="O99" s="68" t="s">
        <v>32</v>
      </c>
      <c r="P99" s="68" t="s">
        <v>23</v>
      </c>
    </row>
    <row r="100" s="59" customFormat="1" spans="1:16">
      <c r="A100" s="66" t="s">
        <v>1135</v>
      </c>
      <c r="B100" s="66" t="s">
        <v>58</v>
      </c>
      <c r="C100" s="66" t="s">
        <v>906</v>
      </c>
      <c r="D100" s="67" t="s">
        <v>18</v>
      </c>
      <c r="E100" s="66" t="s">
        <v>1136</v>
      </c>
      <c r="F100" s="66" t="s">
        <v>1137</v>
      </c>
      <c r="G100" s="66" t="s">
        <v>21</v>
      </c>
      <c r="H100" s="65">
        <v>354</v>
      </c>
      <c r="I100" s="66"/>
      <c r="J100" s="67" t="s">
        <v>1138</v>
      </c>
      <c r="K100" s="67">
        <v>6352.53</v>
      </c>
      <c r="L100" s="69" t="s">
        <v>22</v>
      </c>
      <c r="M100" s="67"/>
      <c r="N100" s="67"/>
      <c r="O100" s="67"/>
      <c r="P100" s="69" t="s">
        <v>21</v>
      </c>
    </row>
    <row r="101" s="59" customFormat="1" spans="1:16">
      <c r="A101" s="66" t="s">
        <v>1139</v>
      </c>
      <c r="B101" s="66" t="s">
        <v>17</v>
      </c>
      <c r="C101" s="66" t="s">
        <v>906</v>
      </c>
      <c r="D101" s="67" t="s">
        <v>18</v>
      </c>
      <c r="E101" s="66" t="s">
        <v>886</v>
      </c>
      <c r="F101" s="66" t="s">
        <v>887</v>
      </c>
      <c r="G101" s="66" t="s">
        <v>21</v>
      </c>
      <c r="H101" s="65">
        <v>720</v>
      </c>
      <c r="I101" s="66"/>
      <c r="J101" s="67" t="s">
        <v>888</v>
      </c>
      <c r="K101" s="67">
        <v>12211.2</v>
      </c>
      <c r="L101" s="69" t="s">
        <v>22</v>
      </c>
      <c r="M101" s="67"/>
      <c r="N101" s="67"/>
      <c r="O101" s="67"/>
      <c r="P101" s="69" t="s">
        <v>21</v>
      </c>
    </row>
    <row r="102" s="59" customFormat="1" spans="1:16">
      <c r="A102" s="66" t="s">
        <v>1140</v>
      </c>
      <c r="B102" s="66" t="s">
        <v>49</v>
      </c>
      <c r="C102" s="66" t="s">
        <v>906</v>
      </c>
      <c r="D102" s="67" t="s">
        <v>18</v>
      </c>
      <c r="E102" s="66" t="s">
        <v>1141</v>
      </c>
      <c r="F102" s="66" t="s">
        <v>1142</v>
      </c>
      <c r="G102" s="66" t="s">
        <v>21</v>
      </c>
      <c r="H102" s="65">
        <v>200</v>
      </c>
      <c r="I102" s="66"/>
      <c r="J102" s="67" t="s">
        <v>888</v>
      </c>
      <c r="K102" s="67">
        <v>3392</v>
      </c>
      <c r="L102" s="69" t="s">
        <v>22</v>
      </c>
      <c r="M102" s="67"/>
      <c r="N102" s="67"/>
      <c r="O102" s="67"/>
      <c r="P102" s="69" t="s">
        <v>21</v>
      </c>
    </row>
    <row r="103" s="59" customFormat="1" spans="1:16">
      <c r="A103" s="66" t="s">
        <v>1143</v>
      </c>
      <c r="B103" s="66" t="s">
        <v>58</v>
      </c>
      <c r="C103" s="66" t="s">
        <v>906</v>
      </c>
      <c r="D103" s="67" t="s">
        <v>18</v>
      </c>
      <c r="E103" s="66" t="s">
        <v>1144</v>
      </c>
      <c r="F103" s="66" t="s">
        <v>1145</v>
      </c>
      <c r="G103" s="66" t="s">
        <v>21</v>
      </c>
      <c r="H103" s="65">
        <v>350</v>
      </c>
      <c r="I103" s="66"/>
      <c r="J103" s="67" t="s">
        <v>888</v>
      </c>
      <c r="K103" s="67">
        <v>5936</v>
      </c>
      <c r="L103" s="69" t="s">
        <v>22</v>
      </c>
      <c r="M103" s="67"/>
      <c r="N103" s="67"/>
      <c r="O103" s="67"/>
      <c r="P103" s="69" t="s">
        <v>21</v>
      </c>
    </row>
    <row r="104" s="59" customFormat="1" spans="1:16">
      <c r="A104" s="66" t="s">
        <v>1146</v>
      </c>
      <c r="B104" s="66" t="s">
        <v>58</v>
      </c>
      <c r="C104" s="66" t="s">
        <v>906</v>
      </c>
      <c r="D104" s="67" t="s">
        <v>18</v>
      </c>
      <c r="E104" s="66" t="s">
        <v>1147</v>
      </c>
      <c r="F104" s="66" t="s">
        <v>1148</v>
      </c>
      <c r="G104" s="66" t="s">
        <v>21</v>
      </c>
      <c r="H104" s="65">
        <v>500</v>
      </c>
      <c r="I104" s="66"/>
      <c r="J104" s="67" t="s">
        <v>909</v>
      </c>
      <c r="K104" s="67">
        <v>9480</v>
      </c>
      <c r="L104" s="69" t="s">
        <v>22</v>
      </c>
      <c r="M104" s="67"/>
      <c r="N104" s="67"/>
      <c r="O104" s="67"/>
      <c r="P104" s="69" t="s">
        <v>21</v>
      </c>
    </row>
    <row r="105" s="59" customFormat="1" spans="1:16">
      <c r="A105" s="66" t="s">
        <v>1149</v>
      </c>
      <c r="B105" s="66" t="s">
        <v>17</v>
      </c>
      <c r="C105" s="66" t="s">
        <v>906</v>
      </c>
      <c r="D105" s="67" t="s">
        <v>18</v>
      </c>
      <c r="E105" s="66" t="s">
        <v>882</v>
      </c>
      <c r="F105" s="66" t="s">
        <v>883</v>
      </c>
      <c r="G105" s="66" t="s">
        <v>21</v>
      </c>
      <c r="H105" s="65">
        <v>120</v>
      </c>
      <c r="I105" s="66"/>
      <c r="J105" s="67" t="s">
        <v>884</v>
      </c>
      <c r="K105" s="67">
        <v>2095.2</v>
      </c>
      <c r="L105" s="69" t="s">
        <v>22</v>
      </c>
      <c r="M105" s="67"/>
      <c r="N105" s="67"/>
      <c r="O105" s="67"/>
      <c r="P105" s="69" t="s">
        <v>23</v>
      </c>
    </row>
    <row r="106" s="59" customFormat="1" spans="1:16">
      <c r="A106" s="66" t="s">
        <v>1149</v>
      </c>
      <c r="B106" s="66" t="s">
        <v>17</v>
      </c>
      <c r="C106" s="66" t="s">
        <v>906</v>
      </c>
      <c r="D106" s="67" t="s">
        <v>18</v>
      </c>
      <c r="E106" s="66" t="s">
        <v>882</v>
      </c>
      <c r="F106" s="66" t="s">
        <v>883</v>
      </c>
      <c r="G106" s="66" t="s">
        <v>21</v>
      </c>
      <c r="H106" s="65">
        <v>360</v>
      </c>
      <c r="I106" s="66"/>
      <c r="J106" s="67" t="s">
        <v>884</v>
      </c>
      <c r="K106" s="67">
        <v>6285.6</v>
      </c>
      <c r="L106" s="69" t="s">
        <v>22</v>
      </c>
      <c r="M106" s="67"/>
      <c r="N106" s="67"/>
      <c r="O106" s="67"/>
      <c r="P106" s="69" t="s">
        <v>21</v>
      </c>
    </row>
    <row r="107" s="59" customFormat="1" spans="1:16">
      <c r="A107" s="66" t="s">
        <v>1150</v>
      </c>
      <c r="B107" s="66" t="s">
        <v>49</v>
      </c>
      <c r="C107" s="66" t="s">
        <v>906</v>
      </c>
      <c r="D107" s="67" t="s">
        <v>18</v>
      </c>
      <c r="E107" s="66" t="s">
        <v>1151</v>
      </c>
      <c r="F107" s="66" t="s">
        <v>1152</v>
      </c>
      <c r="G107" s="66" t="s">
        <v>21</v>
      </c>
      <c r="H107" s="65">
        <v>200</v>
      </c>
      <c r="I107" s="66"/>
      <c r="J107" s="67" t="s">
        <v>1153</v>
      </c>
      <c r="K107" s="67">
        <v>4709</v>
      </c>
      <c r="L107" s="69" t="s">
        <v>22</v>
      </c>
      <c r="M107" s="67"/>
      <c r="N107" s="67"/>
      <c r="O107" s="67"/>
      <c r="P107" s="69" t="s">
        <v>21</v>
      </c>
    </row>
    <row r="108" s="59" customFormat="1" spans="1:16">
      <c r="A108" s="66" t="s">
        <v>1154</v>
      </c>
      <c r="B108" s="66" t="s">
        <v>58</v>
      </c>
      <c r="C108" s="66" t="s">
        <v>906</v>
      </c>
      <c r="D108" s="67" t="s">
        <v>18</v>
      </c>
      <c r="E108" s="66" t="s">
        <v>907</v>
      </c>
      <c r="F108" s="66" t="s">
        <v>908</v>
      </c>
      <c r="G108" s="66" t="s">
        <v>21</v>
      </c>
      <c r="H108" s="65">
        <v>400</v>
      </c>
      <c r="I108" s="66"/>
      <c r="J108" s="67" t="s">
        <v>909</v>
      </c>
      <c r="K108" s="67">
        <v>7584</v>
      </c>
      <c r="L108" s="69" t="s">
        <v>22</v>
      </c>
      <c r="M108" s="67"/>
      <c r="N108" s="67"/>
      <c r="O108" s="67"/>
      <c r="P108" s="69" t="s">
        <v>23</v>
      </c>
    </row>
    <row r="109" s="59" customFormat="1" spans="1:16">
      <c r="A109" s="66" t="s">
        <v>1155</v>
      </c>
      <c r="B109" s="66" t="s">
        <v>49</v>
      </c>
      <c r="C109" s="66" t="s">
        <v>906</v>
      </c>
      <c r="D109" s="67" t="s">
        <v>18</v>
      </c>
      <c r="E109" s="66" t="s">
        <v>890</v>
      </c>
      <c r="F109" s="66" t="s">
        <v>891</v>
      </c>
      <c r="G109" s="66" t="s">
        <v>21</v>
      </c>
      <c r="H109" s="65">
        <v>300</v>
      </c>
      <c r="I109" s="66"/>
      <c r="J109" s="67" t="s">
        <v>888</v>
      </c>
      <c r="K109" s="67">
        <v>5088</v>
      </c>
      <c r="L109" s="67" t="s">
        <v>22</v>
      </c>
      <c r="M109" s="67"/>
      <c r="N109" s="67"/>
      <c r="O109" s="67"/>
      <c r="P109" s="67" t="s">
        <v>21</v>
      </c>
    </row>
    <row r="110" s="59" customFormat="1" spans="1:16">
      <c r="A110" s="66" t="s">
        <v>1156</v>
      </c>
      <c r="B110" s="66" t="s">
        <v>49</v>
      </c>
      <c r="C110" s="66" t="s">
        <v>906</v>
      </c>
      <c r="D110" s="67" t="s">
        <v>18</v>
      </c>
      <c r="E110" s="66" t="s">
        <v>893</v>
      </c>
      <c r="F110" s="66" t="s">
        <v>894</v>
      </c>
      <c r="G110" s="66" t="s">
        <v>21</v>
      </c>
      <c r="H110" s="65">
        <v>300</v>
      </c>
      <c r="I110" s="66"/>
      <c r="J110" s="67" t="s">
        <v>888</v>
      </c>
      <c r="K110" s="67">
        <v>5088</v>
      </c>
      <c r="L110" s="67" t="s">
        <v>22</v>
      </c>
      <c r="M110" s="67"/>
      <c r="N110" s="67"/>
      <c r="O110" s="67"/>
      <c r="P110" s="67" t="s">
        <v>21</v>
      </c>
    </row>
    <row r="111" s="59" customFormat="1" spans="1:16">
      <c r="A111" s="66" t="s">
        <v>1157</v>
      </c>
      <c r="B111" s="66" t="s">
        <v>49</v>
      </c>
      <c r="C111" s="66" t="s">
        <v>904</v>
      </c>
      <c r="D111" s="67" t="s">
        <v>18</v>
      </c>
      <c r="E111" s="66" t="s">
        <v>1158</v>
      </c>
      <c r="F111" s="66" t="s">
        <v>1159</v>
      </c>
      <c r="G111" s="66" t="s">
        <v>21</v>
      </c>
      <c r="H111" s="65">
        <v>441</v>
      </c>
      <c r="I111" s="66" t="s">
        <v>846</v>
      </c>
      <c r="J111" s="67" t="s">
        <v>1160</v>
      </c>
      <c r="K111" s="67">
        <v>5620.545</v>
      </c>
      <c r="L111" s="69" t="s">
        <v>22</v>
      </c>
      <c r="M111" s="67"/>
      <c r="N111" s="67"/>
      <c r="O111" s="67"/>
      <c r="P111" s="69" t="s">
        <v>21</v>
      </c>
    </row>
    <row r="112" spans="1:16">
      <c r="A112" s="64" t="s">
        <v>1161</v>
      </c>
      <c r="B112" s="64" t="s">
        <v>17</v>
      </c>
      <c r="C112" s="64" t="s">
        <v>849</v>
      </c>
      <c r="D112" s="64" t="s">
        <v>28</v>
      </c>
      <c r="E112" s="64" t="s">
        <v>1162</v>
      </c>
      <c r="F112" s="64" t="s">
        <v>1163</v>
      </c>
      <c r="G112" s="64" t="s">
        <v>23</v>
      </c>
      <c r="H112" s="65">
        <v>100</v>
      </c>
      <c r="I112" s="66"/>
      <c r="J112" s="67" t="s">
        <v>940</v>
      </c>
      <c r="K112" s="67">
        <v>900</v>
      </c>
      <c r="L112" s="68" t="s">
        <v>31</v>
      </c>
      <c r="M112" s="68" t="s">
        <v>32</v>
      </c>
      <c r="N112" s="68" t="s">
        <v>23</v>
      </c>
      <c r="O112" s="68" t="s">
        <v>32</v>
      </c>
      <c r="P112" s="68" t="s">
        <v>23</v>
      </c>
    </row>
    <row r="113" s="59" customFormat="1" spans="1:16">
      <c r="A113" s="66" t="s">
        <v>1164</v>
      </c>
      <c r="B113" s="66" t="s">
        <v>17</v>
      </c>
      <c r="C113" s="66" t="s">
        <v>906</v>
      </c>
      <c r="D113" s="67" t="s">
        <v>18</v>
      </c>
      <c r="E113" s="66" t="s">
        <v>1165</v>
      </c>
      <c r="F113" s="66" t="s">
        <v>1166</v>
      </c>
      <c r="G113" s="66" t="s">
        <v>23</v>
      </c>
      <c r="H113" s="65">
        <v>200</v>
      </c>
      <c r="I113" s="66" t="s">
        <v>846</v>
      </c>
      <c r="J113" s="67" t="s">
        <v>1167</v>
      </c>
      <c r="K113" s="67">
        <v>5200</v>
      </c>
      <c r="L113" s="69" t="s">
        <v>22</v>
      </c>
      <c r="M113" s="67"/>
      <c r="N113" s="67"/>
      <c r="O113" s="67"/>
      <c r="P113" s="69" t="s">
        <v>21</v>
      </c>
    </row>
    <row r="114" s="59" customFormat="1" spans="1:16">
      <c r="A114" s="66" t="s">
        <v>1168</v>
      </c>
      <c r="B114" s="66" t="s">
        <v>17</v>
      </c>
      <c r="C114" s="66" t="s">
        <v>906</v>
      </c>
      <c r="D114" s="67" t="s">
        <v>18</v>
      </c>
      <c r="E114" s="66" t="s">
        <v>1169</v>
      </c>
      <c r="F114" s="66" t="s">
        <v>1170</v>
      </c>
      <c r="G114" s="66" t="s">
        <v>23</v>
      </c>
      <c r="H114" s="65">
        <v>200</v>
      </c>
      <c r="I114" s="66" t="s">
        <v>846</v>
      </c>
      <c r="J114" s="67" t="s">
        <v>1171</v>
      </c>
      <c r="K114" s="67">
        <v>10400</v>
      </c>
      <c r="L114" s="69" t="s">
        <v>22</v>
      </c>
      <c r="M114" s="67"/>
      <c r="N114" s="67"/>
      <c r="O114" s="67"/>
      <c r="P114" s="69" t="s">
        <v>21</v>
      </c>
    </row>
    <row r="115" s="59" customFormat="1" spans="1:16">
      <c r="A115" s="66" t="s">
        <v>1172</v>
      </c>
      <c r="B115" s="66" t="s">
        <v>49</v>
      </c>
      <c r="C115" s="66" t="s">
        <v>906</v>
      </c>
      <c r="D115" s="67" t="s">
        <v>18</v>
      </c>
      <c r="E115" s="66" t="s">
        <v>1173</v>
      </c>
      <c r="F115" s="66" t="s">
        <v>1174</v>
      </c>
      <c r="G115" s="66" t="s">
        <v>21</v>
      </c>
      <c r="H115" s="65">
        <v>500</v>
      </c>
      <c r="I115" s="66"/>
      <c r="J115" s="67" t="s">
        <v>1175</v>
      </c>
      <c r="K115" s="67">
        <v>9130</v>
      </c>
      <c r="L115" s="67" t="s">
        <v>22</v>
      </c>
      <c r="M115" s="67"/>
      <c r="N115" s="67"/>
      <c r="O115" s="67"/>
      <c r="P115" s="67" t="s">
        <v>21</v>
      </c>
    </row>
    <row r="116" spans="1:16">
      <c r="A116" s="64" t="s">
        <v>1176</v>
      </c>
      <c r="B116" s="64" t="s">
        <v>17</v>
      </c>
      <c r="C116" s="64" t="s">
        <v>794</v>
      </c>
      <c r="D116" s="64" t="s">
        <v>28</v>
      </c>
      <c r="E116" s="64" t="s">
        <v>1177</v>
      </c>
      <c r="F116" s="64" t="s">
        <v>1178</v>
      </c>
      <c r="G116" s="64" t="s">
        <v>21</v>
      </c>
      <c r="H116" s="65">
        <v>30</v>
      </c>
      <c r="I116" s="66"/>
      <c r="J116" s="67" t="s">
        <v>1179</v>
      </c>
      <c r="K116" s="67">
        <v>771.87</v>
      </c>
      <c r="L116" s="68" t="s">
        <v>31</v>
      </c>
      <c r="M116" s="68" t="s">
        <v>32</v>
      </c>
      <c r="N116" s="68" t="s">
        <v>23</v>
      </c>
      <c r="O116" s="68" t="s">
        <v>32</v>
      </c>
      <c r="P116" s="68" t="s">
        <v>23</v>
      </c>
    </row>
    <row r="117" s="59" customFormat="1" spans="1:16">
      <c r="A117" s="66" t="s">
        <v>1180</v>
      </c>
      <c r="B117" s="66" t="s">
        <v>17</v>
      </c>
      <c r="C117" s="66" t="s">
        <v>867</v>
      </c>
      <c r="D117" s="67" t="s">
        <v>18</v>
      </c>
      <c r="E117" s="66" t="s">
        <v>1177</v>
      </c>
      <c r="F117" s="66" t="s">
        <v>1178</v>
      </c>
      <c r="G117" s="66" t="s">
        <v>21</v>
      </c>
      <c r="H117" s="65">
        <v>300</v>
      </c>
      <c r="I117" s="66"/>
      <c r="J117" s="67" t="s">
        <v>1179</v>
      </c>
      <c r="K117" s="67">
        <v>7718.7</v>
      </c>
      <c r="L117" s="69" t="s">
        <v>31</v>
      </c>
      <c r="M117" s="69" t="s">
        <v>75</v>
      </c>
      <c r="N117" s="69" t="s">
        <v>23</v>
      </c>
      <c r="O117" s="69" t="s">
        <v>75</v>
      </c>
      <c r="P117" s="69" t="s">
        <v>21</v>
      </c>
    </row>
    <row r="118" s="59" customFormat="1" spans="1:16">
      <c r="A118" s="66" t="s">
        <v>1181</v>
      </c>
      <c r="B118" s="66" t="s">
        <v>17</v>
      </c>
      <c r="C118" s="66" t="s">
        <v>904</v>
      </c>
      <c r="D118" s="67" t="s">
        <v>18</v>
      </c>
      <c r="E118" s="66" t="s">
        <v>1182</v>
      </c>
      <c r="F118" s="66" t="s">
        <v>1183</v>
      </c>
      <c r="G118" s="66" t="s">
        <v>21</v>
      </c>
      <c r="H118" s="65">
        <v>400</v>
      </c>
      <c r="I118" s="66"/>
      <c r="J118" s="67" t="s">
        <v>1184</v>
      </c>
      <c r="K118" s="67">
        <v>13578</v>
      </c>
      <c r="L118" s="69" t="s">
        <v>22</v>
      </c>
      <c r="M118" s="67"/>
      <c r="N118" s="67"/>
      <c r="O118" s="67"/>
      <c r="P118" s="69" t="s">
        <v>21</v>
      </c>
    </row>
    <row r="119" s="59" customFormat="1" spans="1:16">
      <c r="A119" s="66" t="s">
        <v>1185</v>
      </c>
      <c r="B119" s="66" t="s">
        <v>17</v>
      </c>
      <c r="C119" s="66" t="s">
        <v>867</v>
      </c>
      <c r="D119" s="67" t="s">
        <v>18</v>
      </c>
      <c r="E119" s="66" t="s">
        <v>1186</v>
      </c>
      <c r="F119" s="66" t="s">
        <v>1187</v>
      </c>
      <c r="G119" s="66" t="s">
        <v>21</v>
      </c>
      <c r="H119" s="65">
        <v>250</v>
      </c>
      <c r="I119" s="66"/>
      <c r="J119" s="67" t="s">
        <v>1188</v>
      </c>
      <c r="K119" s="67">
        <v>5263</v>
      </c>
      <c r="L119" s="69" t="s">
        <v>31</v>
      </c>
      <c r="M119" s="69" t="s">
        <v>52</v>
      </c>
      <c r="N119" s="69" t="s">
        <v>23</v>
      </c>
      <c r="O119" s="69" t="s">
        <v>52</v>
      </c>
      <c r="P119" s="69" t="s">
        <v>21</v>
      </c>
    </row>
    <row r="120" s="59" customFormat="1" spans="1:16">
      <c r="A120" s="66" t="s">
        <v>1189</v>
      </c>
      <c r="B120" s="66" t="s">
        <v>17</v>
      </c>
      <c r="C120" s="66" t="s">
        <v>904</v>
      </c>
      <c r="D120" s="67" t="s">
        <v>18</v>
      </c>
      <c r="E120" s="66" t="s">
        <v>1190</v>
      </c>
      <c r="F120" s="66" t="s">
        <v>1191</v>
      </c>
      <c r="G120" s="66" t="s">
        <v>21</v>
      </c>
      <c r="H120" s="65">
        <v>300</v>
      </c>
      <c r="I120" s="66"/>
      <c r="J120" s="67" t="s">
        <v>1028</v>
      </c>
      <c r="K120" s="67">
        <v>5113.5</v>
      </c>
      <c r="L120" s="69" t="s">
        <v>22</v>
      </c>
      <c r="M120" s="67"/>
      <c r="N120" s="67"/>
      <c r="O120" s="67"/>
      <c r="P120" s="69" t="s">
        <v>21</v>
      </c>
    </row>
    <row r="121" spans="1:16">
      <c r="A121" s="64" t="s">
        <v>1192</v>
      </c>
      <c r="B121" s="64" t="s">
        <v>17</v>
      </c>
      <c r="C121" s="64" t="s">
        <v>794</v>
      </c>
      <c r="D121" s="64" t="s">
        <v>28</v>
      </c>
      <c r="E121" s="64" t="s">
        <v>1190</v>
      </c>
      <c r="F121" s="64" t="s">
        <v>1191</v>
      </c>
      <c r="G121" s="64" t="s">
        <v>21</v>
      </c>
      <c r="H121" s="65">
        <v>30</v>
      </c>
      <c r="I121" s="66"/>
      <c r="J121" s="67" t="s">
        <v>1028</v>
      </c>
      <c r="K121" s="67">
        <v>511.35</v>
      </c>
      <c r="L121" s="68" t="s">
        <v>31</v>
      </c>
      <c r="M121" s="68" t="s">
        <v>32</v>
      </c>
      <c r="N121" s="68" t="s">
        <v>23</v>
      </c>
      <c r="O121" s="68" t="s">
        <v>32</v>
      </c>
      <c r="P121" s="68" t="s">
        <v>23</v>
      </c>
    </row>
    <row r="122" s="59" customFormat="1" spans="1:16">
      <c r="A122" s="66" t="s">
        <v>1193</v>
      </c>
      <c r="B122" s="66" t="s">
        <v>17</v>
      </c>
      <c r="C122" s="66" t="s">
        <v>904</v>
      </c>
      <c r="D122" s="67" t="s">
        <v>18</v>
      </c>
      <c r="E122" s="66" t="s">
        <v>1194</v>
      </c>
      <c r="F122" s="66" t="s">
        <v>1195</v>
      </c>
      <c r="G122" s="66" t="s">
        <v>21</v>
      </c>
      <c r="H122" s="65">
        <v>236</v>
      </c>
      <c r="I122" s="69" t="s">
        <v>1014</v>
      </c>
      <c r="J122" s="67" t="s">
        <v>1196</v>
      </c>
      <c r="K122" s="67">
        <v>4677.52</v>
      </c>
      <c r="L122" s="69" t="s">
        <v>31</v>
      </c>
      <c r="M122" s="69" t="s">
        <v>52</v>
      </c>
      <c r="N122" s="69" t="s">
        <v>23</v>
      </c>
      <c r="O122" s="69" t="s">
        <v>52</v>
      </c>
      <c r="P122" s="69" t="s">
        <v>21</v>
      </c>
    </row>
    <row r="123" spans="1:16">
      <c r="A123" s="64" t="s">
        <v>1197</v>
      </c>
      <c r="B123" s="64" t="s">
        <v>17</v>
      </c>
      <c r="C123" s="64" t="s">
        <v>794</v>
      </c>
      <c r="D123" s="64" t="s">
        <v>28</v>
      </c>
      <c r="E123" s="64" t="s">
        <v>1198</v>
      </c>
      <c r="F123" s="64" t="s">
        <v>1199</v>
      </c>
      <c r="G123" s="64" t="s">
        <v>21</v>
      </c>
      <c r="H123" s="65">
        <v>30</v>
      </c>
      <c r="I123" s="66"/>
      <c r="J123" s="67" t="s">
        <v>1200</v>
      </c>
      <c r="K123" s="67">
        <v>631.35</v>
      </c>
      <c r="L123" s="68" t="s">
        <v>31</v>
      </c>
      <c r="M123" s="68" t="s">
        <v>32</v>
      </c>
      <c r="N123" s="68" t="s">
        <v>23</v>
      </c>
      <c r="O123" s="68" t="s">
        <v>32</v>
      </c>
      <c r="P123" s="68" t="s">
        <v>23</v>
      </c>
    </row>
    <row r="124" s="59" customFormat="1" spans="1:16">
      <c r="A124" s="66" t="s">
        <v>1201</v>
      </c>
      <c r="B124" s="66" t="s">
        <v>17</v>
      </c>
      <c r="C124" s="66" t="s">
        <v>867</v>
      </c>
      <c r="D124" s="67" t="s">
        <v>18</v>
      </c>
      <c r="E124" s="66" t="s">
        <v>1198</v>
      </c>
      <c r="F124" s="66" t="s">
        <v>1199</v>
      </c>
      <c r="G124" s="66" t="s">
        <v>21</v>
      </c>
      <c r="H124" s="65">
        <v>300</v>
      </c>
      <c r="I124" s="66"/>
      <c r="J124" s="67" t="s">
        <v>1200</v>
      </c>
      <c r="K124" s="67">
        <v>6313.5</v>
      </c>
      <c r="L124" s="69" t="s">
        <v>31</v>
      </c>
      <c r="M124" s="69" t="s">
        <v>75</v>
      </c>
      <c r="N124" s="69" t="s">
        <v>23</v>
      </c>
      <c r="O124" s="69" t="s">
        <v>75</v>
      </c>
      <c r="P124" s="69" t="s">
        <v>21</v>
      </c>
    </row>
    <row r="125" s="59" customFormat="1" spans="1:16">
      <c r="A125" s="66" t="s">
        <v>1202</v>
      </c>
      <c r="B125" s="66" t="s">
        <v>17</v>
      </c>
      <c r="C125" s="66" t="s">
        <v>803</v>
      </c>
      <c r="D125" s="67" t="s">
        <v>18</v>
      </c>
      <c r="E125" s="66" t="s">
        <v>1203</v>
      </c>
      <c r="F125" s="66" t="s">
        <v>1204</v>
      </c>
      <c r="G125" s="66" t="s">
        <v>21</v>
      </c>
      <c r="H125" s="65">
        <v>300</v>
      </c>
      <c r="I125" s="66"/>
      <c r="J125" s="67" t="s">
        <v>1205</v>
      </c>
      <c r="K125" s="67">
        <v>9553.5</v>
      </c>
      <c r="L125" s="69" t="s">
        <v>31</v>
      </c>
      <c r="M125" s="69" t="s">
        <v>75</v>
      </c>
      <c r="N125" s="69" t="s">
        <v>23</v>
      </c>
      <c r="O125" s="69" t="s">
        <v>75</v>
      </c>
      <c r="P125" s="69" t="s">
        <v>21</v>
      </c>
    </row>
    <row r="126" s="59" customFormat="1" spans="1:16">
      <c r="A126" s="66" t="s">
        <v>1206</v>
      </c>
      <c r="B126" s="66" t="s">
        <v>17</v>
      </c>
      <c r="C126" s="66" t="s">
        <v>867</v>
      </c>
      <c r="D126" s="67" t="s">
        <v>18</v>
      </c>
      <c r="E126" s="66" t="s">
        <v>1207</v>
      </c>
      <c r="F126" s="66" t="s">
        <v>1208</v>
      </c>
      <c r="G126" s="66" t="s">
        <v>21</v>
      </c>
      <c r="H126" s="65">
        <v>200</v>
      </c>
      <c r="I126" s="69" t="s">
        <v>1014</v>
      </c>
      <c r="J126" s="67" t="s">
        <v>1209</v>
      </c>
      <c r="K126" s="67">
        <v>1471</v>
      </c>
      <c r="L126" s="69" t="s">
        <v>31</v>
      </c>
      <c r="M126" s="69" t="s">
        <v>52</v>
      </c>
      <c r="N126" s="69" t="s">
        <v>23</v>
      </c>
      <c r="O126" s="69" t="s">
        <v>52</v>
      </c>
      <c r="P126" s="69" t="s">
        <v>21</v>
      </c>
    </row>
    <row r="127" spans="1:16">
      <c r="A127" s="64" t="s">
        <v>1210</v>
      </c>
      <c r="B127" s="64" t="s">
        <v>17</v>
      </c>
      <c r="C127" s="64" t="s">
        <v>794</v>
      </c>
      <c r="D127" s="64" t="s">
        <v>28</v>
      </c>
      <c r="E127" s="64" t="s">
        <v>936</v>
      </c>
      <c r="F127" s="64" t="s">
        <v>937</v>
      </c>
      <c r="G127" s="64" t="s">
        <v>21</v>
      </c>
      <c r="H127" s="65">
        <v>120</v>
      </c>
      <c r="I127" s="66" t="s">
        <v>846</v>
      </c>
      <c r="J127" s="67" t="s">
        <v>938</v>
      </c>
      <c r="K127" s="67">
        <v>905.4</v>
      </c>
      <c r="L127" s="68" t="s">
        <v>31</v>
      </c>
      <c r="M127" s="68" t="s">
        <v>32</v>
      </c>
      <c r="N127" s="68" t="s">
        <v>23</v>
      </c>
      <c r="O127" s="68" t="s">
        <v>32</v>
      </c>
      <c r="P127" s="68" t="s">
        <v>23</v>
      </c>
    </row>
    <row r="128" s="59" customFormat="1" spans="1:16">
      <c r="A128" s="66" t="s">
        <v>1211</v>
      </c>
      <c r="B128" s="66" t="s">
        <v>17</v>
      </c>
      <c r="C128" s="66" t="s">
        <v>946</v>
      </c>
      <c r="D128" s="67" t="s">
        <v>18</v>
      </c>
      <c r="E128" s="66" t="s">
        <v>1212</v>
      </c>
      <c r="F128" s="66" t="s">
        <v>1213</v>
      </c>
      <c r="G128" s="66" t="s">
        <v>21</v>
      </c>
      <c r="H128" s="65">
        <v>250</v>
      </c>
      <c r="I128" s="66"/>
      <c r="J128" s="67" t="s">
        <v>1214</v>
      </c>
      <c r="K128" s="67">
        <v>1761.25</v>
      </c>
      <c r="L128" s="69" t="s">
        <v>31</v>
      </c>
      <c r="M128" s="69" t="s">
        <v>52</v>
      </c>
      <c r="N128" s="69" t="s">
        <v>23</v>
      </c>
      <c r="O128" s="69" t="s">
        <v>52</v>
      </c>
      <c r="P128" s="69" t="s">
        <v>21</v>
      </c>
    </row>
    <row r="129" spans="1:16">
      <c r="A129" s="64" t="s">
        <v>1215</v>
      </c>
      <c r="B129" s="64" t="s">
        <v>17</v>
      </c>
      <c r="C129" s="64" t="s">
        <v>794</v>
      </c>
      <c r="D129" s="64" t="s">
        <v>28</v>
      </c>
      <c r="E129" s="64" t="s">
        <v>1212</v>
      </c>
      <c r="F129" s="64" t="s">
        <v>1213</v>
      </c>
      <c r="G129" s="64" t="s">
        <v>21</v>
      </c>
      <c r="H129" s="65">
        <v>30</v>
      </c>
      <c r="I129" s="66"/>
      <c r="J129" s="67" t="s">
        <v>1214</v>
      </c>
      <c r="K129" s="67">
        <v>211.35</v>
      </c>
      <c r="L129" s="68" t="s">
        <v>31</v>
      </c>
      <c r="M129" s="68" t="s">
        <v>32</v>
      </c>
      <c r="N129" s="68" t="s">
        <v>23</v>
      </c>
      <c r="O129" s="68" t="s">
        <v>32</v>
      </c>
      <c r="P129" s="68" t="s">
        <v>23</v>
      </c>
    </row>
    <row r="130" spans="1:16">
      <c r="A130" s="64" t="s">
        <v>1216</v>
      </c>
      <c r="B130" s="64" t="s">
        <v>17</v>
      </c>
      <c r="C130" s="64" t="s">
        <v>794</v>
      </c>
      <c r="D130" s="64" t="s">
        <v>28</v>
      </c>
      <c r="E130" s="64" t="s">
        <v>1207</v>
      </c>
      <c r="F130" s="64" t="s">
        <v>1208</v>
      </c>
      <c r="G130" s="64" t="s">
        <v>21</v>
      </c>
      <c r="H130" s="65">
        <v>30</v>
      </c>
      <c r="I130" s="66"/>
      <c r="J130" s="67" t="s">
        <v>1209</v>
      </c>
      <c r="K130" s="67">
        <v>220.65</v>
      </c>
      <c r="L130" s="68" t="s">
        <v>31</v>
      </c>
      <c r="M130" s="68" t="s">
        <v>32</v>
      </c>
      <c r="N130" s="68" t="s">
        <v>23</v>
      </c>
      <c r="O130" s="68" t="s">
        <v>32</v>
      </c>
      <c r="P130" s="68" t="s">
        <v>23</v>
      </c>
    </row>
    <row r="131" s="59" customFormat="1" spans="1:16">
      <c r="A131" s="66" t="s">
        <v>1217</v>
      </c>
      <c r="B131" s="66" t="s">
        <v>49</v>
      </c>
      <c r="C131" s="66" t="s">
        <v>946</v>
      </c>
      <c r="D131" s="67" t="s">
        <v>18</v>
      </c>
      <c r="E131" s="66" t="s">
        <v>1218</v>
      </c>
      <c r="F131" s="66" t="s">
        <v>1219</v>
      </c>
      <c r="G131" s="66" t="s">
        <v>21</v>
      </c>
      <c r="H131" s="65">
        <v>200</v>
      </c>
      <c r="I131" s="66"/>
      <c r="J131" s="67" t="s">
        <v>1220</v>
      </c>
      <c r="K131" s="67">
        <v>5809</v>
      </c>
      <c r="L131" s="69" t="s">
        <v>31</v>
      </c>
      <c r="M131" s="69" t="s">
        <v>52</v>
      </c>
      <c r="N131" s="69" t="s">
        <v>23</v>
      </c>
      <c r="O131" s="69" t="s">
        <v>52</v>
      </c>
      <c r="P131" s="69" t="s">
        <v>21</v>
      </c>
    </row>
    <row r="132" spans="1:16">
      <c r="A132" s="64" t="s">
        <v>1221</v>
      </c>
      <c r="B132" s="64" t="s">
        <v>17</v>
      </c>
      <c r="C132" s="64" t="s">
        <v>794</v>
      </c>
      <c r="D132" s="64" t="s">
        <v>28</v>
      </c>
      <c r="E132" s="64" t="s">
        <v>1218</v>
      </c>
      <c r="F132" s="64" t="s">
        <v>1219</v>
      </c>
      <c r="G132" s="64" t="s">
        <v>21</v>
      </c>
      <c r="H132" s="65">
        <v>50</v>
      </c>
      <c r="I132" s="66"/>
      <c r="J132" s="67" t="s">
        <v>1220</v>
      </c>
      <c r="K132" s="67">
        <v>1452.25</v>
      </c>
      <c r="L132" s="68" t="s">
        <v>31</v>
      </c>
      <c r="M132" s="68" t="s">
        <v>32</v>
      </c>
      <c r="N132" s="68" t="s">
        <v>23</v>
      </c>
      <c r="O132" s="68" t="s">
        <v>32</v>
      </c>
      <c r="P132" s="68" t="s">
        <v>23</v>
      </c>
    </row>
    <row r="133" s="59" customFormat="1" spans="1:16">
      <c r="A133" s="66" t="s">
        <v>1222</v>
      </c>
      <c r="B133" s="66" t="s">
        <v>17</v>
      </c>
      <c r="C133" s="66" t="s">
        <v>946</v>
      </c>
      <c r="D133" s="67" t="s">
        <v>18</v>
      </c>
      <c r="E133" s="66" t="s">
        <v>1223</v>
      </c>
      <c r="F133" s="66" t="s">
        <v>1224</v>
      </c>
      <c r="G133" s="66" t="s">
        <v>21</v>
      </c>
      <c r="H133" s="65">
        <v>300</v>
      </c>
      <c r="I133" s="66"/>
      <c r="J133" s="67" t="s">
        <v>1225</v>
      </c>
      <c r="K133" s="67">
        <v>6331.5</v>
      </c>
      <c r="L133" s="69" t="s">
        <v>31</v>
      </c>
      <c r="M133" s="69" t="s">
        <v>75</v>
      </c>
      <c r="N133" s="69" t="s">
        <v>23</v>
      </c>
      <c r="O133" s="69" t="s">
        <v>75</v>
      </c>
      <c r="P133" s="69" t="s">
        <v>21</v>
      </c>
    </row>
    <row r="134" spans="1:16">
      <c r="A134" s="64" t="s">
        <v>1226</v>
      </c>
      <c r="B134" s="64" t="s">
        <v>17</v>
      </c>
      <c r="C134" s="64" t="s">
        <v>794</v>
      </c>
      <c r="D134" s="64" t="s">
        <v>28</v>
      </c>
      <c r="E134" s="64" t="s">
        <v>1227</v>
      </c>
      <c r="F134" s="64" t="s">
        <v>1228</v>
      </c>
      <c r="G134" s="64" t="s">
        <v>21</v>
      </c>
      <c r="H134" s="65">
        <v>30</v>
      </c>
      <c r="I134" s="66"/>
      <c r="J134" s="67" t="s">
        <v>1229</v>
      </c>
      <c r="K134" s="67">
        <v>614.85</v>
      </c>
      <c r="L134" s="68" t="s">
        <v>31</v>
      </c>
      <c r="M134" s="68" t="s">
        <v>32</v>
      </c>
      <c r="N134" s="68" t="s">
        <v>23</v>
      </c>
      <c r="O134" s="68" t="s">
        <v>32</v>
      </c>
      <c r="P134" s="68" t="s">
        <v>23</v>
      </c>
    </row>
    <row r="135" spans="1:16">
      <c r="A135" s="64" t="s">
        <v>1230</v>
      </c>
      <c r="B135" s="64" t="s">
        <v>17</v>
      </c>
      <c r="C135" s="64" t="s">
        <v>794</v>
      </c>
      <c r="D135" s="64" t="s">
        <v>28</v>
      </c>
      <c r="E135" s="64" t="s">
        <v>1231</v>
      </c>
      <c r="F135" s="64" t="s">
        <v>1232</v>
      </c>
      <c r="G135" s="64" t="s">
        <v>21</v>
      </c>
      <c r="H135" s="65">
        <v>30</v>
      </c>
      <c r="I135" s="66"/>
      <c r="J135" s="67" t="s">
        <v>1233</v>
      </c>
      <c r="K135" s="67">
        <v>907.83</v>
      </c>
      <c r="L135" s="68" t="s">
        <v>31</v>
      </c>
      <c r="M135" s="68" t="s">
        <v>32</v>
      </c>
      <c r="N135" s="68" t="s">
        <v>23</v>
      </c>
      <c r="O135" s="68" t="s">
        <v>32</v>
      </c>
      <c r="P135" s="68" t="s">
        <v>23</v>
      </c>
    </row>
    <row r="136" spans="1:16">
      <c r="A136" s="64" t="s">
        <v>1234</v>
      </c>
      <c r="B136" s="64" t="s">
        <v>17</v>
      </c>
      <c r="C136" s="64" t="s">
        <v>849</v>
      </c>
      <c r="D136" s="64" t="s">
        <v>28</v>
      </c>
      <c r="E136" s="64" t="s">
        <v>1235</v>
      </c>
      <c r="F136" s="64" t="s">
        <v>1236</v>
      </c>
      <c r="G136" s="64" t="s">
        <v>21</v>
      </c>
      <c r="H136" s="65">
        <v>250</v>
      </c>
      <c r="I136" s="66" t="s">
        <v>846</v>
      </c>
      <c r="J136" s="67" t="s">
        <v>1237</v>
      </c>
      <c r="K136" s="67">
        <v>4006.25</v>
      </c>
      <c r="L136" s="68" t="s">
        <v>31</v>
      </c>
      <c r="M136" s="68" t="s">
        <v>32</v>
      </c>
      <c r="N136" s="68" t="s">
        <v>23</v>
      </c>
      <c r="O136" s="68" t="s">
        <v>32</v>
      </c>
      <c r="P136" s="68" t="s">
        <v>23</v>
      </c>
    </row>
    <row r="137" spans="1:16">
      <c r="A137" s="64" t="s">
        <v>1238</v>
      </c>
      <c r="B137" s="64" t="s">
        <v>17</v>
      </c>
      <c r="C137" s="64" t="s">
        <v>849</v>
      </c>
      <c r="D137" s="64" t="s">
        <v>28</v>
      </c>
      <c r="E137" s="64" t="s">
        <v>1239</v>
      </c>
      <c r="F137" s="64" t="s">
        <v>1240</v>
      </c>
      <c r="G137" s="64" t="s">
        <v>21</v>
      </c>
      <c r="H137" s="65">
        <v>300</v>
      </c>
      <c r="I137" s="66"/>
      <c r="J137" s="67" t="s">
        <v>1241</v>
      </c>
      <c r="K137" s="67">
        <v>6597.6</v>
      </c>
      <c r="L137" s="68" t="s">
        <v>31</v>
      </c>
      <c r="M137" s="68" t="s">
        <v>32</v>
      </c>
      <c r="N137" s="68" t="s">
        <v>23</v>
      </c>
      <c r="O137" s="68" t="s">
        <v>32</v>
      </c>
      <c r="P137" s="68" t="s">
        <v>23</v>
      </c>
    </row>
    <row r="138" s="59" customFormat="1" spans="1:16">
      <c r="A138" s="66" t="s">
        <v>1242</v>
      </c>
      <c r="B138" s="66" t="s">
        <v>17</v>
      </c>
      <c r="C138" s="66" t="s">
        <v>906</v>
      </c>
      <c r="D138" s="67" t="s">
        <v>18</v>
      </c>
      <c r="E138" s="66" t="s">
        <v>1243</v>
      </c>
      <c r="F138" s="66" t="s">
        <v>1244</v>
      </c>
      <c r="G138" s="66" t="s">
        <v>21</v>
      </c>
      <c r="H138" s="65">
        <v>300</v>
      </c>
      <c r="I138" s="69" t="s">
        <v>1014</v>
      </c>
      <c r="J138" s="67" t="s">
        <v>1245</v>
      </c>
      <c r="K138" s="67">
        <v>3964.8</v>
      </c>
      <c r="L138" s="69" t="s">
        <v>31</v>
      </c>
      <c r="M138" s="69" t="s">
        <v>52</v>
      </c>
      <c r="N138" s="69" t="s">
        <v>23</v>
      </c>
      <c r="O138" s="69" t="s">
        <v>52</v>
      </c>
      <c r="P138" s="69" t="s">
        <v>21</v>
      </c>
    </row>
    <row r="139" spans="1:16">
      <c r="A139" s="64" t="s">
        <v>1246</v>
      </c>
      <c r="B139" s="64" t="s">
        <v>17</v>
      </c>
      <c r="C139" s="64" t="s">
        <v>794</v>
      </c>
      <c r="D139" s="64" t="s">
        <v>28</v>
      </c>
      <c r="E139" s="64" t="s">
        <v>1247</v>
      </c>
      <c r="F139" s="64" t="s">
        <v>1248</v>
      </c>
      <c r="G139" s="64" t="s">
        <v>21</v>
      </c>
      <c r="H139" s="65">
        <v>30</v>
      </c>
      <c r="I139" s="66"/>
      <c r="J139" s="67" t="s">
        <v>1249</v>
      </c>
      <c r="K139" s="67">
        <v>325.65</v>
      </c>
      <c r="L139" s="68" t="s">
        <v>31</v>
      </c>
      <c r="M139" s="68" t="s">
        <v>32</v>
      </c>
      <c r="N139" s="68" t="s">
        <v>23</v>
      </c>
      <c r="O139" s="68" t="s">
        <v>32</v>
      </c>
      <c r="P139" s="68" t="s">
        <v>23</v>
      </c>
    </row>
    <row r="140" s="59" customFormat="1" spans="1:16">
      <c r="A140" s="66" t="s">
        <v>1250</v>
      </c>
      <c r="B140" s="66" t="s">
        <v>17</v>
      </c>
      <c r="C140" s="66" t="s">
        <v>803</v>
      </c>
      <c r="D140" s="67" t="s">
        <v>18</v>
      </c>
      <c r="E140" s="66" t="s">
        <v>1247</v>
      </c>
      <c r="F140" s="66" t="s">
        <v>1248</v>
      </c>
      <c r="G140" s="66" t="s">
        <v>21</v>
      </c>
      <c r="H140" s="65">
        <v>250</v>
      </c>
      <c r="I140" s="69" t="s">
        <v>1014</v>
      </c>
      <c r="J140" s="67" t="s">
        <v>1249</v>
      </c>
      <c r="K140" s="67">
        <v>2713.75</v>
      </c>
      <c r="L140" s="69" t="s">
        <v>31</v>
      </c>
      <c r="M140" s="69" t="s">
        <v>52</v>
      </c>
      <c r="N140" s="69" t="s">
        <v>23</v>
      </c>
      <c r="O140" s="69" t="s">
        <v>52</v>
      </c>
      <c r="P140" s="69" t="s">
        <v>21</v>
      </c>
    </row>
    <row r="141" s="59" customFormat="1" spans="1:16">
      <c r="A141" s="66" t="s">
        <v>1251</v>
      </c>
      <c r="B141" s="66" t="s">
        <v>17</v>
      </c>
      <c r="C141" s="66" t="s">
        <v>803</v>
      </c>
      <c r="D141" s="67" t="s">
        <v>18</v>
      </c>
      <c r="E141" s="66" t="s">
        <v>1252</v>
      </c>
      <c r="F141" s="66" t="s">
        <v>1253</v>
      </c>
      <c r="G141" s="66" t="s">
        <v>21</v>
      </c>
      <c r="H141" s="65">
        <v>150</v>
      </c>
      <c r="I141" s="69" t="s">
        <v>1014</v>
      </c>
      <c r="J141" s="67" t="s">
        <v>1254</v>
      </c>
      <c r="K141" s="67">
        <v>1104</v>
      </c>
      <c r="L141" s="69" t="s">
        <v>31</v>
      </c>
      <c r="M141" s="69" t="s">
        <v>52</v>
      </c>
      <c r="N141" s="69" t="s">
        <v>23</v>
      </c>
      <c r="O141" s="69" t="s">
        <v>52</v>
      </c>
      <c r="P141" s="69" t="s">
        <v>21</v>
      </c>
    </row>
    <row r="142" spans="1:16">
      <c r="A142" s="64" t="s">
        <v>1255</v>
      </c>
      <c r="B142" s="64" t="s">
        <v>17</v>
      </c>
      <c r="C142" s="64" t="s">
        <v>794</v>
      </c>
      <c r="D142" s="64" t="s">
        <v>28</v>
      </c>
      <c r="E142" s="64" t="s">
        <v>1252</v>
      </c>
      <c r="F142" s="64" t="s">
        <v>1253</v>
      </c>
      <c r="G142" s="64" t="s">
        <v>21</v>
      </c>
      <c r="H142" s="65">
        <v>30</v>
      </c>
      <c r="I142" s="66"/>
      <c r="J142" s="67" t="s">
        <v>1254</v>
      </c>
      <c r="K142" s="67">
        <v>220.8</v>
      </c>
      <c r="L142" s="68" t="s">
        <v>31</v>
      </c>
      <c r="M142" s="68" t="s">
        <v>32</v>
      </c>
      <c r="N142" s="68" t="s">
        <v>23</v>
      </c>
      <c r="O142" s="68" t="s">
        <v>32</v>
      </c>
      <c r="P142" s="68" t="s">
        <v>23</v>
      </c>
    </row>
    <row r="143" s="59" customFormat="1" spans="1:16">
      <c r="A143" s="66" t="s">
        <v>1256</v>
      </c>
      <c r="B143" s="66" t="s">
        <v>17</v>
      </c>
      <c r="C143" s="66" t="s">
        <v>946</v>
      </c>
      <c r="D143" s="67" t="s">
        <v>18</v>
      </c>
      <c r="E143" s="66" t="s">
        <v>1257</v>
      </c>
      <c r="F143" s="66" t="s">
        <v>226</v>
      </c>
      <c r="G143" s="66" t="s">
        <v>23</v>
      </c>
      <c r="H143" s="65">
        <v>300</v>
      </c>
      <c r="I143" s="66"/>
      <c r="J143" s="67" t="s">
        <v>949</v>
      </c>
      <c r="K143" s="67">
        <v>2670</v>
      </c>
      <c r="L143" s="69" t="s">
        <v>22</v>
      </c>
      <c r="M143" s="67"/>
      <c r="N143" s="67"/>
      <c r="O143" s="67"/>
      <c r="P143" s="69" t="s">
        <v>21</v>
      </c>
    </row>
    <row r="144" spans="1:16">
      <c r="A144" s="64" t="s">
        <v>1258</v>
      </c>
      <c r="B144" s="64" t="s">
        <v>17</v>
      </c>
      <c r="C144" s="64" t="s">
        <v>794</v>
      </c>
      <c r="D144" s="64" t="s">
        <v>28</v>
      </c>
      <c r="E144" s="64" t="s">
        <v>1243</v>
      </c>
      <c r="F144" s="64" t="s">
        <v>1244</v>
      </c>
      <c r="G144" s="64" t="s">
        <v>21</v>
      </c>
      <c r="H144" s="65">
        <v>30</v>
      </c>
      <c r="I144" s="66"/>
      <c r="J144" s="67" t="s">
        <v>1245</v>
      </c>
      <c r="K144" s="67">
        <v>396.48</v>
      </c>
      <c r="L144" s="68" t="s">
        <v>31</v>
      </c>
      <c r="M144" s="68" t="s">
        <v>32</v>
      </c>
      <c r="N144" s="68" t="s">
        <v>23</v>
      </c>
      <c r="O144" s="68" t="s">
        <v>32</v>
      </c>
      <c r="P144" s="68" t="s">
        <v>23</v>
      </c>
    </row>
    <row r="145" spans="1:16">
      <c r="A145" s="64" t="s">
        <v>1259</v>
      </c>
      <c r="B145" s="64" t="s">
        <v>17</v>
      </c>
      <c r="C145" s="64" t="s">
        <v>794</v>
      </c>
      <c r="D145" s="64" t="s">
        <v>28</v>
      </c>
      <c r="E145" s="64" t="s">
        <v>1260</v>
      </c>
      <c r="F145" s="64" t="s">
        <v>1261</v>
      </c>
      <c r="G145" s="64" t="s">
        <v>21</v>
      </c>
      <c r="H145" s="65">
        <v>120</v>
      </c>
      <c r="I145" s="66"/>
      <c r="J145" s="67" t="s">
        <v>1262</v>
      </c>
      <c r="K145" s="67">
        <v>2640.6</v>
      </c>
      <c r="L145" s="68" t="s">
        <v>31</v>
      </c>
      <c r="M145" s="68" t="s">
        <v>32</v>
      </c>
      <c r="N145" s="68" t="s">
        <v>23</v>
      </c>
      <c r="O145" s="68" t="s">
        <v>32</v>
      </c>
      <c r="P145" s="68" t="s">
        <v>23</v>
      </c>
    </row>
    <row r="146" spans="1:16">
      <c r="A146" s="64" t="s">
        <v>1263</v>
      </c>
      <c r="B146" s="64" t="s">
        <v>17</v>
      </c>
      <c r="C146" s="64" t="s">
        <v>849</v>
      </c>
      <c r="D146" s="64" t="s">
        <v>28</v>
      </c>
      <c r="E146" s="64" t="s">
        <v>1264</v>
      </c>
      <c r="F146" s="64" t="s">
        <v>1265</v>
      </c>
      <c r="G146" s="64" t="s">
        <v>21</v>
      </c>
      <c r="H146" s="65">
        <v>150</v>
      </c>
      <c r="I146" s="66"/>
      <c r="J146" s="67" t="s">
        <v>1266</v>
      </c>
      <c r="K146" s="67">
        <v>2256.3</v>
      </c>
      <c r="L146" s="68" t="s">
        <v>31</v>
      </c>
      <c r="M146" s="68" t="s">
        <v>32</v>
      </c>
      <c r="N146" s="68" t="s">
        <v>23</v>
      </c>
      <c r="O146" s="68" t="s">
        <v>32</v>
      </c>
      <c r="P146" s="68" t="s">
        <v>23</v>
      </c>
    </row>
    <row r="147" spans="1:16">
      <c r="A147" s="64" t="s">
        <v>1267</v>
      </c>
      <c r="B147" s="64" t="s">
        <v>17</v>
      </c>
      <c r="C147" s="64" t="s">
        <v>849</v>
      </c>
      <c r="D147" s="64" t="s">
        <v>28</v>
      </c>
      <c r="E147" s="64" t="s">
        <v>1268</v>
      </c>
      <c r="F147" s="64" t="s">
        <v>1269</v>
      </c>
      <c r="G147" s="64" t="s">
        <v>21</v>
      </c>
      <c r="H147" s="65">
        <v>100</v>
      </c>
      <c r="I147" s="66" t="s">
        <v>846</v>
      </c>
      <c r="J147" s="67" t="s">
        <v>1270</v>
      </c>
      <c r="K147" s="67">
        <v>2369.7</v>
      </c>
      <c r="L147" s="68" t="s">
        <v>31</v>
      </c>
      <c r="M147" s="68" t="s">
        <v>32</v>
      </c>
      <c r="N147" s="68" t="s">
        <v>23</v>
      </c>
      <c r="O147" s="68" t="s">
        <v>32</v>
      </c>
      <c r="P147" s="68" t="s">
        <v>23</v>
      </c>
    </row>
    <row r="148" spans="1:16">
      <c r="A148" s="64" t="s">
        <v>1271</v>
      </c>
      <c r="B148" s="64" t="s">
        <v>17</v>
      </c>
      <c r="C148" s="64" t="s">
        <v>794</v>
      </c>
      <c r="D148" s="64" t="s">
        <v>28</v>
      </c>
      <c r="E148" s="64" t="s">
        <v>1272</v>
      </c>
      <c r="F148" s="64" t="s">
        <v>1273</v>
      </c>
      <c r="G148" s="64" t="s">
        <v>21</v>
      </c>
      <c r="H148" s="65">
        <v>30</v>
      </c>
      <c r="I148" s="66"/>
      <c r="J148" s="67" t="s">
        <v>988</v>
      </c>
      <c r="K148" s="67">
        <v>635.91</v>
      </c>
      <c r="L148" s="68" t="s">
        <v>31</v>
      </c>
      <c r="M148" s="68" t="s">
        <v>32</v>
      </c>
      <c r="N148" s="68" t="s">
        <v>23</v>
      </c>
      <c r="O148" s="68" t="s">
        <v>32</v>
      </c>
      <c r="P148" s="68" t="s">
        <v>23</v>
      </c>
    </row>
    <row r="149" s="59" customFormat="1" spans="1:16">
      <c r="A149" s="66" t="s">
        <v>1274</v>
      </c>
      <c r="B149" s="66" t="s">
        <v>17</v>
      </c>
      <c r="C149" s="66" t="s">
        <v>803</v>
      </c>
      <c r="D149" s="67" t="s">
        <v>18</v>
      </c>
      <c r="E149" s="66" t="s">
        <v>1272</v>
      </c>
      <c r="F149" s="66" t="s">
        <v>1273</v>
      </c>
      <c r="G149" s="66" t="s">
        <v>21</v>
      </c>
      <c r="H149" s="65">
        <v>300</v>
      </c>
      <c r="I149" s="66"/>
      <c r="J149" s="67" t="s">
        <v>988</v>
      </c>
      <c r="K149" s="67">
        <v>6359.1</v>
      </c>
      <c r="L149" s="69" t="s">
        <v>31</v>
      </c>
      <c r="M149" s="69" t="s">
        <v>52</v>
      </c>
      <c r="N149" s="69" t="s">
        <v>23</v>
      </c>
      <c r="O149" s="69" t="s">
        <v>52</v>
      </c>
      <c r="P149" s="69" t="s">
        <v>21</v>
      </c>
    </row>
    <row r="150" s="59" customFormat="1" spans="1:16">
      <c r="A150" s="66" t="s">
        <v>1275</v>
      </c>
      <c r="B150" s="66" t="s">
        <v>17</v>
      </c>
      <c r="C150" s="66" t="s">
        <v>946</v>
      </c>
      <c r="D150" s="67" t="s">
        <v>18</v>
      </c>
      <c r="E150" s="66" t="s">
        <v>1276</v>
      </c>
      <c r="F150" s="66" t="s">
        <v>1277</v>
      </c>
      <c r="G150" s="66" t="s">
        <v>23</v>
      </c>
      <c r="H150" s="65">
        <v>500</v>
      </c>
      <c r="I150" s="66"/>
      <c r="J150" s="67" t="s">
        <v>1278</v>
      </c>
      <c r="K150" s="67">
        <v>4400</v>
      </c>
      <c r="L150" s="69" t="s">
        <v>22</v>
      </c>
      <c r="M150" s="67"/>
      <c r="N150" s="67"/>
      <c r="O150" s="67"/>
      <c r="P150" s="69" t="s">
        <v>21</v>
      </c>
    </row>
    <row r="151" s="59" customFormat="1" spans="1:16">
      <c r="A151" s="66" t="s">
        <v>1279</v>
      </c>
      <c r="B151" s="66" t="s">
        <v>17</v>
      </c>
      <c r="C151" s="66" t="s">
        <v>803</v>
      </c>
      <c r="D151" s="67" t="s">
        <v>18</v>
      </c>
      <c r="E151" s="66" t="s">
        <v>1128</v>
      </c>
      <c r="F151" s="66" t="s">
        <v>1129</v>
      </c>
      <c r="G151" s="66" t="s">
        <v>21</v>
      </c>
      <c r="H151" s="65">
        <v>480</v>
      </c>
      <c r="I151" s="66"/>
      <c r="J151" s="67" t="s">
        <v>1130</v>
      </c>
      <c r="K151" s="67">
        <v>6096</v>
      </c>
      <c r="L151" s="69" t="s">
        <v>22</v>
      </c>
      <c r="M151" s="67"/>
      <c r="N151" s="67"/>
      <c r="O151" s="67"/>
      <c r="P151" s="69" t="s">
        <v>21</v>
      </c>
    </row>
    <row r="152" s="59" customFormat="1" spans="1:16">
      <c r="A152" s="66" t="s">
        <v>1280</v>
      </c>
      <c r="B152" s="66" t="s">
        <v>17</v>
      </c>
      <c r="C152" s="66" t="s">
        <v>946</v>
      </c>
      <c r="D152" s="67" t="s">
        <v>18</v>
      </c>
      <c r="E152" s="66" t="s">
        <v>1281</v>
      </c>
      <c r="F152" s="66" t="s">
        <v>1282</v>
      </c>
      <c r="G152" s="66" t="s">
        <v>21</v>
      </c>
      <c r="H152" s="65">
        <v>300</v>
      </c>
      <c r="I152" s="66"/>
      <c r="J152" s="67" t="s">
        <v>1283</v>
      </c>
      <c r="K152" s="67">
        <v>9937.5</v>
      </c>
      <c r="L152" s="69" t="s">
        <v>31</v>
      </c>
      <c r="M152" s="69" t="s">
        <v>52</v>
      </c>
      <c r="N152" s="69" t="s">
        <v>23</v>
      </c>
      <c r="O152" s="69" t="s">
        <v>52</v>
      </c>
      <c r="P152" s="69" t="s">
        <v>21</v>
      </c>
    </row>
    <row r="153" spans="1:16">
      <c r="A153" s="64" t="s">
        <v>1284</v>
      </c>
      <c r="B153" s="64" t="s">
        <v>17</v>
      </c>
      <c r="C153" s="64" t="s">
        <v>862</v>
      </c>
      <c r="D153" s="68" t="s">
        <v>238</v>
      </c>
      <c r="E153" s="64" t="s">
        <v>863</v>
      </c>
      <c r="F153" s="64" t="s">
        <v>864</v>
      </c>
      <c r="G153" s="64" t="s">
        <v>23</v>
      </c>
      <c r="H153" s="65">
        <v>500</v>
      </c>
      <c r="I153" s="66"/>
      <c r="J153" s="67" t="s">
        <v>865</v>
      </c>
      <c r="K153" s="67">
        <v>2500</v>
      </c>
      <c r="L153" s="68" t="s">
        <v>31</v>
      </c>
      <c r="M153" s="68" t="s">
        <v>241</v>
      </c>
      <c r="N153" s="68" t="s">
        <v>23</v>
      </c>
      <c r="O153" s="68" t="s">
        <v>241</v>
      </c>
      <c r="P153" s="68" t="s">
        <v>23</v>
      </c>
    </row>
    <row r="154" spans="1:16">
      <c r="A154" s="64" t="s">
        <v>1285</v>
      </c>
      <c r="B154" s="64" t="s">
        <v>17</v>
      </c>
      <c r="C154" s="64" t="s">
        <v>794</v>
      </c>
      <c r="D154" s="64" t="s">
        <v>28</v>
      </c>
      <c r="E154" s="64" t="s">
        <v>1286</v>
      </c>
      <c r="F154" s="64" t="s">
        <v>1287</v>
      </c>
      <c r="G154" s="64" t="s">
        <v>23</v>
      </c>
      <c r="H154" s="65">
        <v>30</v>
      </c>
      <c r="I154" s="66"/>
      <c r="J154" s="67" t="s">
        <v>1278</v>
      </c>
      <c r="K154" s="67">
        <v>264</v>
      </c>
      <c r="L154" s="68" t="s">
        <v>31</v>
      </c>
      <c r="M154" s="68" t="s">
        <v>32</v>
      </c>
      <c r="N154" s="68" t="s">
        <v>23</v>
      </c>
      <c r="O154" s="68" t="s">
        <v>32</v>
      </c>
      <c r="P154" s="68" t="s">
        <v>23</v>
      </c>
    </row>
    <row r="155" s="59" customFormat="1" spans="1:16">
      <c r="A155" s="66" t="s">
        <v>1288</v>
      </c>
      <c r="B155" s="66" t="s">
        <v>17</v>
      </c>
      <c r="C155" s="66" t="s">
        <v>867</v>
      </c>
      <c r="D155" s="67" t="s">
        <v>18</v>
      </c>
      <c r="E155" s="66" t="s">
        <v>1289</v>
      </c>
      <c r="F155" s="66" t="s">
        <v>1290</v>
      </c>
      <c r="G155" s="66" t="s">
        <v>21</v>
      </c>
      <c r="H155" s="65">
        <v>300</v>
      </c>
      <c r="I155" s="66"/>
      <c r="J155" s="67" t="s">
        <v>1291</v>
      </c>
      <c r="K155" s="67">
        <v>4513.5</v>
      </c>
      <c r="L155" s="69" t="s">
        <v>31</v>
      </c>
      <c r="M155" s="69" t="s">
        <v>75</v>
      </c>
      <c r="N155" s="69" t="s">
        <v>23</v>
      </c>
      <c r="O155" s="69" t="s">
        <v>75</v>
      </c>
      <c r="P155" s="69" t="s">
        <v>21</v>
      </c>
    </row>
    <row r="156" spans="1:16">
      <c r="A156" s="64" t="s">
        <v>1292</v>
      </c>
      <c r="B156" s="64" t="s">
        <v>17</v>
      </c>
      <c r="C156" s="64" t="s">
        <v>794</v>
      </c>
      <c r="D156" s="64" t="s">
        <v>28</v>
      </c>
      <c r="E156" s="64" t="s">
        <v>1293</v>
      </c>
      <c r="F156" s="64" t="s">
        <v>1294</v>
      </c>
      <c r="G156" s="64" t="s">
        <v>21</v>
      </c>
      <c r="H156" s="65">
        <v>30</v>
      </c>
      <c r="I156" s="66"/>
      <c r="J156" s="67" t="s">
        <v>1295</v>
      </c>
      <c r="K156" s="67">
        <v>216.15</v>
      </c>
      <c r="L156" s="68" t="s">
        <v>31</v>
      </c>
      <c r="M156" s="68" t="s">
        <v>32</v>
      </c>
      <c r="N156" s="68" t="s">
        <v>23</v>
      </c>
      <c r="O156" s="68" t="s">
        <v>32</v>
      </c>
      <c r="P156" s="68" t="s">
        <v>23</v>
      </c>
    </row>
    <row r="157" s="59" customFormat="1" spans="1:16">
      <c r="A157" s="66" t="s">
        <v>1296</v>
      </c>
      <c r="B157" s="66" t="s">
        <v>17</v>
      </c>
      <c r="C157" s="66" t="s">
        <v>812</v>
      </c>
      <c r="D157" s="67" t="s">
        <v>18</v>
      </c>
      <c r="E157" s="66" t="s">
        <v>1293</v>
      </c>
      <c r="F157" s="66" t="s">
        <v>1294</v>
      </c>
      <c r="G157" s="66" t="s">
        <v>21</v>
      </c>
      <c r="H157" s="65">
        <v>300</v>
      </c>
      <c r="I157" s="66"/>
      <c r="J157" s="67" t="s">
        <v>1295</v>
      </c>
      <c r="K157" s="67">
        <v>2161.5</v>
      </c>
      <c r="L157" s="69" t="s">
        <v>31</v>
      </c>
      <c r="M157" s="69" t="s">
        <v>75</v>
      </c>
      <c r="N157" s="69" t="s">
        <v>23</v>
      </c>
      <c r="O157" s="69" t="s">
        <v>75</v>
      </c>
      <c r="P157" s="69" t="s">
        <v>21</v>
      </c>
    </row>
    <row r="158" s="59" customFormat="1" spans="1:16">
      <c r="A158" s="66" t="s">
        <v>1297</v>
      </c>
      <c r="B158" s="66" t="s">
        <v>17</v>
      </c>
      <c r="C158" s="66" t="s">
        <v>867</v>
      </c>
      <c r="D158" s="67" t="s">
        <v>18</v>
      </c>
      <c r="E158" s="66" t="s">
        <v>1286</v>
      </c>
      <c r="F158" s="66" t="s">
        <v>1287</v>
      </c>
      <c r="G158" s="66" t="s">
        <v>23</v>
      </c>
      <c r="H158" s="65">
        <v>300</v>
      </c>
      <c r="I158" s="66"/>
      <c r="J158" s="67" t="s">
        <v>1278</v>
      </c>
      <c r="K158" s="67">
        <v>2640</v>
      </c>
      <c r="L158" s="69" t="s">
        <v>22</v>
      </c>
      <c r="M158" s="67"/>
      <c r="N158" s="67"/>
      <c r="O158" s="67"/>
      <c r="P158" s="69" t="s">
        <v>21</v>
      </c>
    </row>
    <row r="159" s="59" customFormat="1" spans="1:16">
      <c r="A159" s="66" t="s">
        <v>1298</v>
      </c>
      <c r="B159" s="66" t="s">
        <v>17</v>
      </c>
      <c r="C159" s="66" t="s">
        <v>803</v>
      </c>
      <c r="D159" s="67" t="s">
        <v>18</v>
      </c>
      <c r="E159" s="66" t="s">
        <v>1299</v>
      </c>
      <c r="F159" s="66" t="s">
        <v>1300</v>
      </c>
      <c r="G159" s="66" t="s">
        <v>21</v>
      </c>
      <c r="H159" s="65">
        <v>300</v>
      </c>
      <c r="I159" s="66"/>
      <c r="J159" s="67" t="s">
        <v>1301</v>
      </c>
      <c r="K159" s="67">
        <v>6209.1</v>
      </c>
      <c r="L159" s="69" t="s">
        <v>31</v>
      </c>
      <c r="M159" s="69" t="s">
        <v>52</v>
      </c>
      <c r="N159" s="69" t="s">
        <v>23</v>
      </c>
      <c r="O159" s="69" t="s">
        <v>52</v>
      </c>
      <c r="P159" s="69" t="s">
        <v>21</v>
      </c>
    </row>
    <row r="160" spans="1:16">
      <c r="A160" s="64" t="s">
        <v>1302</v>
      </c>
      <c r="B160" s="64" t="s">
        <v>17</v>
      </c>
      <c r="C160" s="64" t="s">
        <v>794</v>
      </c>
      <c r="D160" s="64" t="s">
        <v>28</v>
      </c>
      <c r="E160" s="64" t="s">
        <v>1299</v>
      </c>
      <c r="F160" s="64" t="s">
        <v>1300</v>
      </c>
      <c r="G160" s="64" t="s">
        <v>21</v>
      </c>
      <c r="H160" s="65">
        <v>30</v>
      </c>
      <c r="I160" s="66"/>
      <c r="J160" s="67" t="s">
        <v>1301</v>
      </c>
      <c r="K160" s="67">
        <v>620.91</v>
      </c>
      <c r="L160" s="68" t="s">
        <v>31</v>
      </c>
      <c r="M160" s="68" t="s">
        <v>32</v>
      </c>
      <c r="N160" s="68" t="s">
        <v>23</v>
      </c>
      <c r="O160" s="68" t="s">
        <v>32</v>
      </c>
      <c r="P160" s="68" t="s">
        <v>23</v>
      </c>
    </row>
    <row r="161" spans="1:16">
      <c r="A161" s="64" t="s">
        <v>1303</v>
      </c>
      <c r="B161" s="64" t="s">
        <v>17</v>
      </c>
      <c r="C161" s="64" t="s">
        <v>862</v>
      </c>
      <c r="D161" s="68" t="s">
        <v>238</v>
      </c>
      <c r="E161" s="64" t="s">
        <v>1304</v>
      </c>
      <c r="F161" s="64" t="s">
        <v>1305</v>
      </c>
      <c r="G161" s="64" t="s">
        <v>23</v>
      </c>
      <c r="H161" s="65">
        <v>5000</v>
      </c>
      <c r="I161" s="66"/>
      <c r="J161" s="67" t="s">
        <v>1306</v>
      </c>
      <c r="K161" s="67">
        <v>3000</v>
      </c>
      <c r="L161" s="68" t="s">
        <v>31</v>
      </c>
      <c r="M161" s="68" t="s">
        <v>241</v>
      </c>
      <c r="N161" s="68" t="s">
        <v>23</v>
      </c>
      <c r="O161" s="68" t="s">
        <v>241</v>
      </c>
      <c r="P161" s="68" t="s">
        <v>23</v>
      </c>
    </row>
    <row r="162" s="59" customFormat="1" spans="1:16">
      <c r="A162" s="66" t="s">
        <v>1307</v>
      </c>
      <c r="B162" s="66" t="s">
        <v>17</v>
      </c>
      <c r="C162" s="66" t="s">
        <v>867</v>
      </c>
      <c r="D162" s="67" t="s">
        <v>18</v>
      </c>
      <c r="E162" s="66" t="s">
        <v>1308</v>
      </c>
      <c r="F162" s="66" t="s">
        <v>1309</v>
      </c>
      <c r="G162" s="66" t="s">
        <v>21</v>
      </c>
      <c r="H162" s="65">
        <v>290</v>
      </c>
      <c r="I162" s="66"/>
      <c r="J162" s="67" t="s">
        <v>1310</v>
      </c>
      <c r="K162" s="67">
        <v>4451.5</v>
      </c>
      <c r="L162" s="69" t="s">
        <v>31</v>
      </c>
      <c r="M162" s="69" t="s">
        <v>52</v>
      </c>
      <c r="N162" s="69" t="s">
        <v>23</v>
      </c>
      <c r="O162" s="67" t="s">
        <v>52</v>
      </c>
      <c r="P162" s="69" t="s">
        <v>21</v>
      </c>
    </row>
    <row r="163" s="59" customFormat="1" spans="1:16">
      <c r="A163" s="66" t="s">
        <v>1311</v>
      </c>
      <c r="B163" s="66" t="s">
        <v>49</v>
      </c>
      <c r="C163" s="66" t="s">
        <v>867</v>
      </c>
      <c r="D163" s="67" t="s">
        <v>18</v>
      </c>
      <c r="E163" s="66" t="s">
        <v>1312</v>
      </c>
      <c r="F163" s="66" t="s">
        <v>1313</v>
      </c>
      <c r="G163" s="66" t="s">
        <v>21</v>
      </c>
      <c r="H163" s="65">
        <v>250</v>
      </c>
      <c r="I163" s="66" t="s">
        <v>846</v>
      </c>
      <c r="J163" s="67" t="s">
        <v>1314</v>
      </c>
      <c r="K163" s="67">
        <v>3375</v>
      </c>
      <c r="L163" s="69" t="s">
        <v>22</v>
      </c>
      <c r="M163" s="67"/>
      <c r="N163" s="67"/>
      <c r="O163" s="67"/>
      <c r="P163" s="69" t="s">
        <v>21</v>
      </c>
    </row>
    <row r="164" spans="1:16">
      <c r="A164" s="64" t="s">
        <v>1315</v>
      </c>
      <c r="B164" s="64" t="s">
        <v>17</v>
      </c>
      <c r="C164" s="64" t="s">
        <v>794</v>
      </c>
      <c r="D164" s="64" t="s">
        <v>28</v>
      </c>
      <c r="E164" s="64" t="s">
        <v>1316</v>
      </c>
      <c r="F164" s="64" t="s">
        <v>1317</v>
      </c>
      <c r="G164" s="64" t="s">
        <v>21</v>
      </c>
      <c r="H164" s="65">
        <v>30</v>
      </c>
      <c r="I164" s="66"/>
      <c r="J164" s="67" t="s">
        <v>1318</v>
      </c>
      <c r="K164" s="67">
        <v>638.7</v>
      </c>
      <c r="L164" s="68" t="s">
        <v>31</v>
      </c>
      <c r="M164" s="68" t="s">
        <v>32</v>
      </c>
      <c r="N164" s="68" t="s">
        <v>23</v>
      </c>
      <c r="O164" s="68" t="s">
        <v>32</v>
      </c>
      <c r="P164" s="68" t="s">
        <v>23</v>
      </c>
    </row>
    <row r="165" spans="1:16">
      <c r="A165" s="64" t="s">
        <v>1319</v>
      </c>
      <c r="B165" s="64" t="s">
        <v>17</v>
      </c>
      <c r="C165" s="64" t="s">
        <v>794</v>
      </c>
      <c r="D165" s="64" t="s">
        <v>28</v>
      </c>
      <c r="E165" s="64" t="s">
        <v>1320</v>
      </c>
      <c r="F165" s="64" t="s">
        <v>1321</v>
      </c>
      <c r="G165" s="64" t="s">
        <v>21</v>
      </c>
      <c r="H165" s="65">
        <v>30</v>
      </c>
      <c r="I165" s="66"/>
      <c r="J165" s="67" t="s">
        <v>1322</v>
      </c>
      <c r="K165" s="67">
        <v>697.26</v>
      </c>
      <c r="L165" s="68" t="s">
        <v>31</v>
      </c>
      <c r="M165" s="68" t="s">
        <v>32</v>
      </c>
      <c r="N165" s="68" t="s">
        <v>23</v>
      </c>
      <c r="O165" s="68" t="s">
        <v>32</v>
      </c>
      <c r="P165" s="68" t="s">
        <v>23</v>
      </c>
    </row>
    <row r="166" s="59" customFormat="1" spans="1:16">
      <c r="A166" s="66" t="s">
        <v>1323</v>
      </c>
      <c r="B166" s="66" t="s">
        <v>17</v>
      </c>
      <c r="C166" s="66" t="s">
        <v>858</v>
      </c>
      <c r="D166" s="67" t="s">
        <v>18</v>
      </c>
      <c r="E166" s="66" t="s">
        <v>1316</v>
      </c>
      <c r="F166" s="66" t="s">
        <v>1317</v>
      </c>
      <c r="G166" s="66" t="s">
        <v>21</v>
      </c>
      <c r="H166" s="65">
        <v>400</v>
      </c>
      <c r="I166" s="66"/>
      <c r="J166" s="67" t="s">
        <v>1318</v>
      </c>
      <c r="K166" s="67">
        <v>8516</v>
      </c>
      <c r="L166" s="69" t="s">
        <v>31</v>
      </c>
      <c r="M166" s="69" t="s">
        <v>52</v>
      </c>
      <c r="N166" s="69" t="s">
        <v>23</v>
      </c>
      <c r="O166" s="69" t="s">
        <v>52</v>
      </c>
      <c r="P166" s="69" t="s">
        <v>21</v>
      </c>
    </row>
    <row r="167" s="59" customFormat="1" spans="1:16">
      <c r="A167" s="66" t="s">
        <v>1324</v>
      </c>
      <c r="B167" s="66" t="s">
        <v>17</v>
      </c>
      <c r="C167" s="66" t="s">
        <v>867</v>
      </c>
      <c r="D167" s="67" t="s">
        <v>18</v>
      </c>
      <c r="E167" s="66" t="s">
        <v>1325</v>
      </c>
      <c r="F167" s="66" t="s">
        <v>1326</v>
      </c>
      <c r="G167" s="66" t="s">
        <v>21</v>
      </c>
      <c r="H167" s="65">
        <v>100</v>
      </c>
      <c r="I167" s="66"/>
      <c r="J167" s="67" t="s">
        <v>1327</v>
      </c>
      <c r="K167" s="67">
        <v>2054.5</v>
      </c>
      <c r="L167" s="69" t="s">
        <v>31</v>
      </c>
      <c r="M167" s="69" t="s">
        <v>52</v>
      </c>
      <c r="N167" s="69" t="s">
        <v>23</v>
      </c>
      <c r="O167" s="69" t="s">
        <v>52</v>
      </c>
      <c r="P167" s="69" t="s">
        <v>21</v>
      </c>
    </row>
    <row r="168" s="59" customFormat="1" spans="1:16">
      <c r="A168" s="66" t="s">
        <v>1328</v>
      </c>
      <c r="B168" s="66" t="s">
        <v>17</v>
      </c>
      <c r="C168" s="66" t="s">
        <v>803</v>
      </c>
      <c r="D168" s="67" t="s">
        <v>18</v>
      </c>
      <c r="E168" s="66" t="s">
        <v>1329</v>
      </c>
      <c r="F168" s="66" t="s">
        <v>1330</v>
      </c>
      <c r="G168" s="66" t="s">
        <v>21</v>
      </c>
      <c r="H168" s="65">
        <v>315</v>
      </c>
      <c r="I168" s="66"/>
      <c r="J168" s="67" t="s">
        <v>1331</v>
      </c>
      <c r="K168" s="67">
        <v>7867.0305</v>
      </c>
      <c r="L168" s="69" t="s">
        <v>31</v>
      </c>
      <c r="M168" s="69" t="s">
        <v>75</v>
      </c>
      <c r="N168" s="69" t="s">
        <v>23</v>
      </c>
      <c r="O168" s="69" t="s">
        <v>75</v>
      </c>
      <c r="P168" s="69" t="s">
        <v>23</v>
      </c>
    </row>
    <row r="169" s="59" customFormat="1" spans="1:16">
      <c r="A169" s="66" t="s">
        <v>1332</v>
      </c>
      <c r="B169" s="66" t="s">
        <v>17</v>
      </c>
      <c r="C169" s="66" t="s">
        <v>803</v>
      </c>
      <c r="D169" s="67" t="s">
        <v>18</v>
      </c>
      <c r="E169" s="66" t="s">
        <v>1333</v>
      </c>
      <c r="F169" s="66" t="s">
        <v>1334</v>
      </c>
      <c r="G169" s="66" t="s">
        <v>21</v>
      </c>
      <c r="H169" s="65">
        <v>150</v>
      </c>
      <c r="I169" s="69" t="s">
        <v>1014</v>
      </c>
      <c r="J169" s="67" t="s">
        <v>1335</v>
      </c>
      <c r="K169" s="67">
        <v>1097.25</v>
      </c>
      <c r="L169" s="69" t="s">
        <v>31</v>
      </c>
      <c r="M169" s="69" t="s">
        <v>52</v>
      </c>
      <c r="N169" s="69" t="s">
        <v>23</v>
      </c>
      <c r="O169" s="69" t="s">
        <v>52</v>
      </c>
      <c r="P169" s="69" t="s">
        <v>21</v>
      </c>
    </row>
    <row r="170" s="59" customFormat="1" spans="1:16">
      <c r="A170" s="66" t="s">
        <v>1336</v>
      </c>
      <c r="B170" s="66" t="s">
        <v>17</v>
      </c>
      <c r="C170" s="66" t="s">
        <v>803</v>
      </c>
      <c r="D170" s="67" t="s">
        <v>18</v>
      </c>
      <c r="E170" s="66" t="s">
        <v>1333</v>
      </c>
      <c r="F170" s="66" t="s">
        <v>1334</v>
      </c>
      <c r="G170" s="66" t="s">
        <v>21</v>
      </c>
      <c r="H170" s="65">
        <v>150</v>
      </c>
      <c r="I170" s="69" t="s">
        <v>1014</v>
      </c>
      <c r="J170" s="67" t="s">
        <v>1335</v>
      </c>
      <c r="K170" s="67">
        <v>1097.25</v>
      </c>
      <c r="L170" s="69" t="s">
        <v>31</v>
      </c>
      <c r="M170" s="69" t="s">
        <v>52</v>
      </c>
      <c r="N170" s="69" t="s">
        <v>23</v>
      </c>
      <c r="O170" s="69" t="s">
        <v>52</v>
      </c>
      <c r="P170" s="69" t="s">
        <v>23</v>
      </c>
    </row>
    <row r="171" s="59" customFormat="1" spans="1:16">
      <c r="A171" s="66" t="s">
        <v>1337</v>
      </c>
      <c r="B171" s="66" t="s">
        <v>17</v>
      </c>
      <c r="C171" s="66" t="s">
        <v>946</v>
      </c>
      <c r="D171" s="67" t="s">
        <v>18</v>
      </c>
      <c r="E171" s="66" t="s">
        <v>1338</v>
      </c>
      <c r="F171" s="66" t="s">
        <v>1339</v>
      </c>
      <c r="G171" s="66" t="s">
        <v>21</v>
      </c>
      <c r="H171" s="65">
        <v>500</v>
      </c>
      <c r="I171" s="69" t="s">
        <v>1014</v>
      </c>
      <c r="J171" s="67" t="s">
        <v>1340</v>
      </c>
      <c r="K171" s="67">
        <v>11146</v>
      </c>
      <c r="L171" s="69" t="s">
        <v>31</v>
      </c>
      <c r="M171" s="67" t="s">
        <v>52</v>
      </c>
      <c r="N171" s="67" t="s">
        <v>23</v>
      </c>
      <c r="O171" s="67" t="s">
        <v>52</v>
      </c>
      <c r="P171" s="67" t="s">
        <v>21</v>
      </c>
    </row>
    <row r="172" s="59" customFormat="1" spans="1:16">
      <c r="A172" s="66" t="s">
        <v>1341</v>
      </c>
      <c r="B172" s="66" t="s">
        <v>17</v>
      </c>
      <c r="C172" s="66" t="s">
        <v>803</v>
      </c>
      <c r="D172" s="67" t="s">
        <v>18</v>
      </c>
      <c r="E172" s="66" t="s">
        <v>1342</v>
      </c>
      <c r="F172" s="66" t="s">
        <v>479</v>
      </c>
      <c r="G172" s="66" t="s">
        <v>21</v>
      </c>
      <c r="H172" s="65">
        <v>300</v>
      </c>
      <c r="I172" s="66"/>
      <c r="J172" s="67" t="s">
        <v>1343</v>
      </c>
      <c r="K172" s="67">
        <v>5263.5</v>
      </c>
      <c r="L172" s="69" t="s">
        <v>22</v>
      </c>
      <c r="M172" s="67"/>
      <c r="N172" s="67"/>
      <c r="O172" s="67"/>
      <c r="P172" s="69" t="s">
        <v>23</v>
      </c>
    </row>
    <row r="173" s="59" customFormat="1" spans="1:16">
      <c r="A173" s="66" t="s">
        <v>1344</v>
      </c>
      <c r="B173" s="66" t="s">
        <v>17</v>
      </c>
      <c r="C173" s="66" t="s">
        <v>946</v>
      </c>
      <c r="D173" s="67" t="s">
        <v>18</v>
      </c>
      <c r="E173" s="66" t="s">
        <v>327</v>
      </c>
      <c r="F173" s="66" t="s">
        <v>328</v>
      </c>
      <c r="G173" s="66" t="s">
        <v>21</v>
      </c>
      <c r="H173" s="65">
        <v>300</v>
      </c>
      <c r="I173" s="66"/>
      <c r="J173" s="67" t="s">
        <v>1345</v>
      </c>
      <c r="K173" s="67">
        <v>7219.59</v>
      </c>
      <c r="L173" s="69" t="s">
        <v>31</v>
      </c>
      <c r="M173" s="69" t="s">
        <v>52</v>
      </c>
      <c r="N173" s="69" t="s">
        <v>23</v>
      </c>
      <c r="O173" s="69" t="s">
        <v>52</v>
      </c>
      <c r="P173" s="69" t="s">
        <v>21</v>
      </c>
    </row>
    <row r="174" s="59" customFormat="1" spans="1:16">
      <c r="A174" s="66" t="s">
        <v>1346</v>
      </c>
      <c r="B174" s="66" t="s">
        <v>17</v>
      </c>
      <c r="C174" s="66" t="s">
        <v>812</v>
      </c>
      <c r="D174" s="67" t="s">
        <v>18</v>
      </c>
      <c r="E174" s="66" t="s">
        <v>127</v>
      </c>
      <c r="F174" s="66" t="s">
        <v>128</v>
      </c>
      <c r="G174" s="66" t="s">
        <v>23</v>
      </c>
      <c r="H174" s="65">
        <v>500</v>
      </c>
      <c r="I174" s="66"/>
      <c r="J174" s="67" t="s">
        <v>1314</v>
      </c>
      <c r="K174" s="67">
        <v>6750</v>
      </c>
      <c r="L174" s="69" t="s">
        <v>31</v>
      </c>
      <c r="M174" s="69"/>
      <c r="N174" s="69"/>
      <c r="O174" s="69"/>
      <c r="P174" s="69" t="s">
        <v>23</v>
      </c>
    </row>
    <row r="175" s="59" customFormat="1" spans="1:16">
      <c r="A175" s="66" t="s">
        <v>1347</v>
      </c>
      <c r="B175" s="66" t="s">
        <v>17</v>
      </c>
      <c r="C175" s="66" t="s">
        <v>812</v>
      </c>
      <c r="D175" s="67" t="s">
        <v>18</v>
      </c>
      <c r="E175" s="66" t="s">
        <v>317</v>
      </c>
      <c r="F175" s="66" t="s">
        <v>318</v>
      </c>
      <c r="G175" s="66" t="s">
        <v>21</v>
      </c>
      <c r="H175" s="65">
        <v>100</v>
      </c>
      <c r="I175" s="69" t="s">
        <v>804</v>
      </c>
      <c r="J175" s="67" t="s">
        <v>1348</v>
      </c>
      <c r="K175" s="67">
        <v>2150</v>
      </c>
      <c r="L175" s="69" t="s">
        <v>31</v>
      </c>
      <c r="M175" s="69" t="s">
        <v>75</v>
      </c>
      <c r="N175" s="69" t="s">
        <v>23</v>
      </c>
      <c r="O175" s="69" t="s">
        <v>52</v>
      </c>
      <c r="P175" s="69" t="s">
        <v>21</v>
      </c>
    </row>
    <row r="176" s="59" customFormat="1" spans="1:16">
      <c r="A176" s="66" t="s">
        <v>1349</v>
      </c>
      <c r="B176" s="66" t="s">
        <v>17</v>
      </c>
      <c r="C176" s="66" t="s">
        <v>812</v>
      </c>
      <c r="D176" s="67" t="s">
        <v>18</v>
      </c>
      <c r="E176" s="66" t="s">
        <v>1320</v>
      </c>
      <c r="F176" s="66" t="s">
        <v>1321</v>
      </c>
      <c r="G176" s="66" t="s">
        <v>21</v>
      </c>
      <c r="H176" s="65">
        <v>300</v>
      </c>
      <c r="I176" s="66"/>
      <c r="J176" s="67" t="s">
        <v>1322</v>
      </c>
      <c r="K176" s="67">
        <v>6972.6</v>
      </c>
      <c r="L176" s="69" t="s">
        <v>31</v>
      </c>
      <c r="M176" s="69" t="s">
        <v>52</v>
      </c>
      <c r="N176" s="69" t="s">
        <v>23</v>
      </c>
      <c r="O176" s="69" t="s">
        <v>52</v>
      </c>
      <c r="P176" s="69" t="s">
        <v>21</v>
      </c>
    </row>
    <row r="177" s="59" customFormat="1" spans="1:16">
      <c r="A177" s="66" t="s">
        <v>1350</v>
      </c>
      <c r="B177" s="66" t="s">
        <v>17</v>
      </c>
      <c r="C177" s="66" t="s">
        <v>946</v>
      </c>
      <c r="D177" s="67" t="s">
        <v>18</v>
      </c>
      <c r="E177" s="66" t="s">
        <v>1351</v>
      </c>
      <c r="F177" s="66" t="s">
        <v>1352</v>
      </c>
      <c r="G177" s="66" t="s">
        <v>21</v>
      </c>
      <c r="H177" s="65">
        <v>300</v>
      </c>
      <c r="I177" s="66"/>
      <c r="J177" s="67" t="s">
        <v>1353</v>
      </c>
      <c r="K177" s="67">
        <v>7527</v>
      </c>
      <c r="L177" s="69" t="s">
        <v>31</v>
      </c>
      <c r="M177" s="69" t="s">
        <v>52</v>
      </c>
      <c r="N177" s="69" t="s">
        <v>23</v>
      </c>
      <c r="O177" s="69" t="s">
        <v>52</v>
      </c>
      <c r="P177" s="69" t="s">
        <v>21</v>
      </c>
    </row>
    <row r="178" s="59" customFormat="1" spans="1:16">
      <c r="A178" s="66" t="s">
        <v>1354</v>
      </c>
      <c r="B178" s="66" t="s">
        <v>17</v>
      </c>
      <c r="C178" s="66" t="s">
        <v>906</v>
      </c>
      <c r="D178" s="67" t="s">
        <v>18</v>
      </c>
      <c r="E178" s="66" t="s">
        <v>1231</v>
      </c>
      <c r="F178" s="66" t="s">
        <v>1232</v>
      </c>
      <c r="G178" s="66" t="s">
        <v>21</v>
      </c>
      <c r="H178" s="65">
        <v>300</v>
      </c>
      <c r="I178" s="66"/>
      <c r="J178" s="67" t="s">
        <v>1233</v>
      </c>
      <c r="K178" s="67">
        <v>9078.3</v>
      </c>
      <c r="L178" s="69" t="s">
        <v>31</v>
      </c>
      <c r="M178" s="69" t="s">
        <v>52</v>
      </c>
      <c r="N178" s="69" t="s">
        <v>23</v>
      </c>
      <c r="O178" s="69" t="s">
        <v>52</v>
      </c>
      <c r="P178" s="69" t="s">
        <v>21</v>
      </c>
    </row>
    <row r="179" s="59" customFormat="1" spans="1:16">
      <c r="A179" s="66" t="s">
        <v>1355</v>
      </c>
      <c r="B179" s="66" t="s">
        <v>17</v>
      </c>
      <c r="C179" s="66" t="s">
        <v>906</v>
      </c>
      <c r="D179" s="67" t="s">
        <v>18</v>
      </c>
      <c r="E179" s="66" t="s">
        <v>1227</v>
      </c>
      <c r="F179" s="66" t="s">
        <v>1228</v>
      </c>
      <c r="G179" s="66" t="s">
        <v>21</v>
      </c>
      <c r="H179" s="65">
        <v>300</v>
      </c>
      <c r="I179" s="66"/>
      <c r="J179" s="67" t="s">
        <v>1229</v>
      </c>
      <c r="K179" s="67">
        <v>6148.5</v>
      </c>
      <c r="L179" s="69" t="s">
        <v>31</v>
      </c>
      <c r="M179" s="69" t="s">
        <v>52</v>
      </c>
      <c r="N179" s="69" t="s">
        <v>23</v>
      </c>
      <c r="O179" s="69" t="s">
        <v>52</v>
      </c>
      <c r="P179" s="69" t="s">
        <v>21</v>
      </c>
    </row>
    <row r="180" s="59" customFormat="1" spans="1:16">
      <c r="A180" s="66" t="s">
        <v>1356</v>
      </c>
      <c r="B180" s="66" t="s">
        <v>17</v>
      </c>
      <c r="C180" s="66" t="s">
        <v>803</v>
      </c>
      <c r="D180" s="67" t="s">
        <v>18</v>
      </c>
      <c r="E180" s="66" t="s">
        <v>1357</v>
      </c>
      <c r="F180" s="66" t="s">
        <v>1358</v>
      </c>
      <c r="G180" s="66" t="s">
        <v>21</v>
      </c>
      <c r="H180" s="65">
        <v>350</v>
      </c>
      <c r="I180" s="66"/>
      <c r="J180" s="67" t="s">
        <v>1359</v>
      </c>
      <c r="K180" s="67">
        <v>9136.75</v>
      </c>
      <c r="L180" s="69" t="s">
        <v>31</v>
      </c>
      <c r="M180" s="69" t="s">
        <v>52</v>
      </c>
      <c r="N180" s="69" t="s">
        <v>23</v>
      </c>
      <c r="O180" s="69" t="s">
        <v>52</v>
      </c>
      <c r="P180" s="69" t="s">
        <v>21</v>
      </c>
    </row>
    <row r="181" s="59" customFormat="1" spans="1:16">
      <c r="A181" s="66" t="s">
        <v>1360</v>
      </c>
      <c r="B181" s="66" t="s">
        <v>17</v>
      </c>
      <c r="C181" s="66" t="s">
        <v>803</v>
      </c>
      <c r="D181" s="67" t="s">
        <v>18</v>
      </c>
      <c r="E181" s="66" t="s">
        <v>1361</v>
      </c>
      <c r="F181" s="66" t="s">
        <v>1362</v>
      </c>
      <c r="G181" s="66" t="s">
        <v>21</v>
      </c>
      <c r="H181" s="65">
        <v>350</v>
      </c>
      <c r="I181" s="66"/>
      <c r="J181" s="67" t="s">
        <v>1363</v>
      </c>
      <c r="K181" s="67">
        <v>5192.95</v>
      </c>
      <c r="L181" s="69" t="s">
        <v>31</v>
      </c>
      <c r="M181" s="69" t="s">
        <v>52</v>
      </c>
      <c r="N181" s="69" t="s">
        <v>23</v>
      </c>
      <c r="O181" s="69" t="s">
        <v>52</v>
      </c>
      <c r="P181" s="69" t="s">
        <v>21</v>
      </c>
    </row>
    <row r="182" spans="1:16">
      <c r="A182" s="64" t="s">
        <v>1364</v>
      </c>
      <c r="B182" s="64" t="s">
        <v>17</v>
      </c>
      <c r="C182" s="64" t="s">
        <v>794</v>
      </c>
      <c r="D182" s="64" t="s">
        <v>28</v>
      </c>
      <c r="E182" s="64" t="s">
        <v>1361</v>
      </c>
      <c r="F182" s="64" t="s">
        <v>1362</v>
      </c>
      <c r="G182" s="64" t="s">
        <v>21</v>
      </c>
      <c r="H182" s="65">
        <v>30</v>
      </c>
      <c r="I182" s="66"/>
      <c r="J182" s="67" t="s">
        <v>1363</v>
      </c>
      <c r="K182" s="67">
        <v>445.11</v>
      </c>
      <c r="L182" s="68" t="s">
        <v>31</v>
      </c>
      <c r="M182" s="68" t="s">
        <v>32</v>
      </c>
      <c r="N182" s="68" t="s">
        <v>23</v>
      </c>
      <c r="O182" s="68" t="s">
        <v>32</v>
      </c>
      <c r="P182" s="68" t="s">
        <v>23</v>
      </c>
    </row>
    <row r="183" spans="1:16">
      <c r="A183" s="64" t="s">
        <v>1365</v>
      </c>
      <c r="B183" s="64" t="s">
        <v>17</v>
      </c>
      <c r="C183" s="64" t="s">
        <v>794</v>
      </c>
      <c r="D183" s="64" t="s">
        <v>28</v>
      </c>
      <c r="E183" s="64" t="s">
        <v>1366</v>
      </c>
      <c r="F183" s="64" t="s">
        <v>1367</v>
      </c>
      <c r="G183" s="64" t="s">
        <v>21</v>
      </c>
      <c r="H183" s="65">
        <v>50</v>
      </c>
      <c r="I183" s="66"/>
      <c r="J183" s="67" t="s">
        <v>1368</v>
      </c>
      <c r="K183" s="67">
        <v>932.25</v>
      </c>
      <c r="L183" s="68" t="s">
        <v>31</v>
      </c>
      <c r="M183" s="68" t="s">
        <v>32</v>
      </c>
      <c r="N183" s="68" t="s">
        <v>23</v>
      </c>
      <c r="O183" s="68" t="s">
        <v>32</v>
      </c>
      <c r="P183" s="68" t="s">
        <v>23</v>
      </c>
    </row>
    <row r="184" s="59" customFormat="1" spans="1:16">
      <c r="A184" s="66" t="s">
        <v>1369</v>
      </c>
      <c r="B184" s="66" t="s">
        <v>17</v>
      </c>
      <c r="C184" s="66" t="s">
        <v>858</v>
      </c>
      <c r="D184" s="67" t="s">
        <v>18</v>
      </c>
      <c r="E184" s="66" t="s">
        <v>1366</v>
      </c>
      <c r="F184" s="66" t="s">
        <v>1367</v>
      </c>
      <c r="G184" s="66" t="s">
        <v>21</v>
      </c>
      <c r="H184" s="65">
        <v>300</v>
      </c>
      <c r="I184" s="66" t="s">
        <v>1014</v>
      </c>
      <c r="J184" s="67" t="s">
        <v>1368</v>
      </c>
      <c r="K184" s="67">
        <v>5593.5</v>
      </c>
      <c r="L184" s="67" t="s">
        <v>31</v>
      </c>
      <c r="M184" s="67" t="s">
        <v>52</v>
      </c>
      <c r="N184" s="67" t="s">
        <v>23</v>
      </c>
      <c r="O184" s="67" t="s">
        <v>52</v>
      </c>
      <c r="P184" s="67" t="s">
        <v>21</v>
      </c>
    </row>
    <row r="185" spans="1:16">
      <c r="A185" s="64" t="s">
        <v>1370</v>
      </c>
      <c r="B185" s="64" t="s">
        <v>17</v>
      </c>
      <c r="C185" s="64" t="s">
        <v>794</v>
      </c>
      <c r="D185" s="64" t="s">
        <v>28</v>
      </c>
      <c r="E185" s="64" t="s">
        <v>1371</v>
      </c>
      <c r="F185" s="64" t="s">
        <v>1372</v>
      </c>
      <c r="G185" s="64" t="s">
        <v>23</v>
      </c>
      <c r="H185" s="65">
        <v>200</v>
      </c>
      <c r="I185" s="66"/>
      <c r="J185" s="67" t="s">
        <v>1314</v>
      </c>
      <c r="K185" s="67">
        <v>2700</v>
      </c>
      <c r="L185" s="68" t="s">
        <v>31</v>
      </c>
      <c r="M185" s="68" t="s">
        <v>32</v>
      </c>
      <c r="N185" s="68" t="s">
        <v>23</v>
      </c>
      <c r="O185" s="68" t="s">
        <v>32</v>
      </c>
      <c r="P185" s="68" t="s">
        <v>23</v>
      </c>
    </row>
    <row r="186" s="59" customFormat="1" spans="1:16">
      <c r="A186" s="66" t="s">
        <v>1373</v>
      </c>
      <c r="B186" s="66" t="s">
        <v>17</v>
      </c>
      <c r="C186" s="66" t="s">
        <v>858</v>
      </c>
      <c r="D186" s="67" t="s">
        <v>18</v>
      </c>
      <c r="E186" s="66" t="s">
        <v>1374</v>
      </c>
      <c r="F186" s="66" t="s">
        <v>1375</v>
      </c>
      <c r="G186" s="66" t="s">
        <v>21</v>
      </c>
      <c r="H186" s="65">
        <v>300</v>
      </c>
      <c r="I186" s="66"/>
      <c r="J186" s="67" t="s">
        <v>1376</v>
      </c>
      <c r="K186" s="67">
        <v>8203.5</v>
      </c>
      <c r="L186" s="69" t="s">
        <v>31</v>
      </c>
      <c r="M186" s="69" t="s">
        <v>75</v>
      </c>
      <c r="N186" s="69" t="s">
        <v>23</v>
      </c>
      <c r="O186" s="69" t="s">
        <v>75</v>
      </c>
      <c r="P186" s="69" t="s">
        <v>21</v>
      </c>
    </row>
    <row r="187" s="59" customFormat="1" spans="1:16">
      <c r="A187" s="66" t="s">
        <v>1377</v>
      </c>
      <c r="B187" s="66" t="s">
        <v>17</v>
      </c>
      <c r="C187" s="66" t="s">
        <v>904</v>
      </c>
      <c r="D187" s="67" t="s">
        <v>18</v>
      </c>
      <c r="E187" s="66" t="s">
        <v>1378</v>
      </c>
      <c r="F187" s="66" t="s">
        <v>1379</v>
      </c>
      <c r="G187" s="66" t="s">
        <v>21</v>
      </c>
      <c r="H187" s="65">
        <v>300</v>
      </c>
      <c r="I187" s="66" t="s">
        <v>846</v>
      </c>
      <c r="J187" s="67" t="s">
        <v>1380</v>
      </c>
      <c r="K187" s="67">
        <v>9200.94</v>
      </c>
      <c r="L187" s="69" t="s">
        <v>31</v>
      </c>
      <c r="M187" s="69" t="s">
        <v>1381</v>
      </c>
      <c r="N187" s="69" t="s">
        <v>23</v>
      </c>
      <c r="O187" s="69" t="s">
        <v>1381</v>
      </c>
      <c r="P187" s="69" t="s">
        <v>21</v>
      </c>
    </row>
    <row r="188" s="59" customFormat="1" spans="1:16">
      <c r="A188" s="66" t="s">
        <v>1382</v>
      </c>
      <c r="B188" s="66" t="s">
        <v>17</v>
      </c>
      <c r="C188" s="66" t="s">
        <v>946</v>
      </c>
      <c r="D188" s="67" t="s">
        <v>18</v>
      </c>
      <c r="E188" s="66" t="s">
        <v>1276</v>
      </c>
      <c r="F188" s="66" t="s">
        <v>1277</v>
      </c>
      <c r="G188" s="66" t="s">
        <v>23</v>
      </c>
      <c r="H188" s="65">
        <v>500</v>
      </c>
      <c r="I188" s="66"/>
      <c r="J188" s="67" t="s">
        <v>1278</v>
      </c>
      <c r="K188" s="67">
        <v>4400</v>
      </c>
      <c r="L188" s="69" t="s">
        <v>22</v>
      </c>
      <c r="M188" s="67"/>
      <c r="N188" s="67"/>
      <c r="O188" s="67"/>
      <c r="P188" s="69" t="s">
        <v>21</v>
      </c>
    </row>
    <row r="189" s="59" customFormat="1" spans="1:16">
      <c r="A189" s="66" t="s">
        <v>1383</v>
      </c>
      <c r="B189" s="66" t="s">
        <v>17</v>
      </c>
      <c r="C189" s="66" t="s">
        <v>803</v>
      </c>
      <c r="D189" s="67" t="s">
        <v>18</v>
      </c>
      <c r="E189" s="66" t="s">
        <v>1384</v>
      </c>
      <c r="F189" s="66" t="s">
        <v>1385</v>
      </c>
      <c r="G189" s="66" t="s">
        <v>21</v>
      </c>
      <c r="H189" s="65">
        <v>350</v>
      </c>
      <c r="I189" s="66"/>
      <c r="J189" s="67" t="s">
        <v>1386</v>
      </c>
      <c r="K189" s="67">
        <v>8963.85</v>
      </c>
      <c r="L189" s="69" t="s">
        <v>31</v>
      </c>
      <c r="M189" s="69" t="s">
        <v>75</v>
      </c>
      <c r="N189" s="69" t="s">
        <v>23</v>
      </c>
      <c r="O189" s="69" t="s">
        <v>75</v>
      </c>
      <c r="P189" s="69" t="s">
        <v>21</v>
      </c>
    </row>
    <row r="190" s="59" customFormat="1" spans="1:16">
      <c r="A190" s="66" t="s">
        <v>1387</v>
      </c>
      <c r="B190" s="66" t="s">
        <v>17</v>
      </c>
      <c r="C190" s="66" t="s">
        <v>803</v>
      </c>
      <c r="D190" s="67" t="s">
        <v>18</v>
      </c>
      <c r="E190" s="66" t="s">
        <v>1388</v>
      </c>
      <c r="F190" s="66" t="s">
        <v>1389</v>
      </c>
      <c r="G190" s="66" t="s">
        <v>21</v>
      </c>
      <c r="H190" s="65">
        <v>150</v>
      </c>
      <c r="I190" s="66"/>
      <c r="J190" s="67" t="s">
        <v>1390</v>
      </c>
      <c r="K190" s="67">
        <v>3758.85</v>
      </c>
      <c r="L190" s="69" t="s">
        <v>31</v>
      </c>
      <c r="M190" s="69" t="s">
        <v>75</v>
      </c>
      <c r="N190" s="69" t="s">
        <v>23</v>
      </c>
      <c r="O190" s="69" t="s">
        <v>75</v>
      </c>
      <c r="P190" s="69" t="s">
        <v>21</v>
      </c>
    </row>
    <row r="191" s="59" customFormat="1" spans="1:16">
      <c r="A191" s="66" t="s">
        <v>1391</v>
      </c>
      <c r="B191" s="66" t="s">
        <v>17</v>
      </c>
      <c r="C191" s="66" t="s">
        <v>803</v>
      </c>
      <c r="D191" s="67" t="s">
        <v>18</v>
      </c>
      <c r="E191" s="66" t="s">
        <v>1392</v>
      </c>
      <c r="F191" s="66" t="s">
        <v>1393</v>
      </c>
      <c r="G191" s="66" t="s">
        <v>21</v>
      </c>
      <c r="H191" s="65">
        <v>200</v>
      </c>
      <c r="I191" s="66"/>
      <c r="J191" s="67" t="s">
        <v>1386</v>
      </c>
      <c r="K191" s="67">
        <v>5122.2</v>
      </c>
      <c r="L191" s="69" t="s">
        <v>31</v>
      </c>
      <c r="M191" s="69" t="s">
        <v>75</v>
      </c>
      <c r="N191" s="69" t="s">
        <v>23</v>
      </c>
      <c r="O191" s="69" t="s">
        <v>75</v>
      </c>
      <c r="P191" s="69" t="s">
        <v>21</v>
      </c>
    </row>
    <row r="192" s="59" customFormat="1" spans="1:16">
      <c r="A192" s="66" t="s">
        <v>1394</v>
      </c>
      <c r="B192" s="66" t="s">
        <v>17</v>
      </c>
      <c r="C192" s="66" t="s">
        <v>812</v>
      </c>
      <c r="D192" s="67" t="s">
        <v>18</v>
      </c>
      <c r="E192" s="66" t="s">
        <v>1395</v>
      </c>
      <c r="F192" s="66" t="s">
        <v>1396</v>
      </c>
      <c r="G192" s="66" t="s">
        <v>21</v>
      </c>
      <c r="H192" s="65">
        <v>300</v>
      </c>
      <c r="I192" s="66"/>
      <c r="J192" s="67" t="s">
        <v>1397</v>
      </c>
      <c r="K192" s="67">
        <v>7317</v>
      </c>
      <c r="L192" s="69" t="s">
        <v>31</v>
      </c>
      <c r="M192" s="69" t="s">
        <v>52</v>
      </c>
      <c r="N192" s="69" t="s">
        <v>23</v>
      </c>
      <c r="O192" s="67" t="s">
        <v>52</v>
      </c>
      <c r="P192" s="69" t="s">
        <v>21</v>
      </c>
    </row>
    <row r="193" spans="1:16">
      <c r="A193" s="64" t="s">
        <v>1398</v>
      </c>
      <c r="B193" s="64" t="s">
        <v>17</v>
      </c>
      <c r="C193" s="64" t="s">
        <v>794</v>
      </c>
      <c r="D193" s="64" t="s">
        <v>28</v>
      </c>
      <c r="E193" s="64" t="s">
        <v>1141</v>
      </c>
      <c r="F193" s="64" t="s">
        <v>1142</v>
      </c>
      <c r="G193" s="64" t="s">
        <v>21</v>
      </c>
      <c r="H193" s="65">
        <v>180</v>
      </c>
      <c r="I193" s="66"/>
      <c r="J193" s="67" t="s">
        <v>888</v>
      </c>
      <c r="K193" s="67">
        <v>3052.8</v>
      </c>
      <c r="L193" s="68" t="s">
        <v>31</v>
      </c>
      <c r="M193" s="68" t="s">
        <v>32</v>
      </c>
      <c r="N193" s="68" t="s">
        <v>23</v>
      </c>
      <c r="O193" s="68" t="s">
        <v>32</v>
      </c>
      <c r="P193" s="68" t="s">
        <v>23</v>
      </c>
    </row>
    <row r="194" s="59" customFormat="1" spans="1:16">
      <c r="A194" s="66" t="s">
        <v>1399</v>
      </c>
      <c r="B194" s="66" t="s">
        <v>17</v>
      </c>
      <c r="C194" s="66" t="s">
        <v>946</v>
      </c>
      <c r="D194" s="67" t="s">
        <v>18</v>
      </c>
      <c r="E194" s="66" t="s">
        <v>1400</v>
      </c>
      <c r="F194" s="66" t="s">
        <v>1401</v>
      </c>
      <c r="G194" s="66" t="s">
        <v>21</v>
      </c>
      <c r="H194" s="65">
        <v>350</v>
      </c>
      <c r="I194" s="66"/>
      <c r="J194" s="67" t="s">
        <v>1402</v>
      </c>
      <c r="K194" s="67">
        <v>7522.2</v>
      </c>
      <c r="L194" s="69" t="s">
        <v>31</v>
      </c>
      <c r="M194" s="69" t="s">
        <v>52</v>
      </c>
      <c r="N194" s="69" t="s">
        <v>23</v>
      </c>
      <c r="O194" s="69" t="s">
        <v>52</v>
      </c>
      <c r="P194" s="69" t="s">
        <v>21</v>
      </c>
    </row>
    <row r="195" s="59" customFormat="1" spans="1:16">
      <c r="A195" s="66" t="s">
        <v>1403</v>
      </c>
      <c r="B195" s="66" t="s">
        <v>17</v>
      </c>
      <c r="C195" s="66" t="s">
        <v>904</v>
      </c>
      <c r="D195" s="67" t="s">
        <v>18</v>
      </c>
      <c r="E195" s="66" t="s">
        <v>1404</v>
      </c>
      <c r="F195" s="66" t="s">
        <v>1405</v>
      </c>
      <c r="G195" s="66" t="s">
        <v>21</v>
      </c>
      <c r="H195" s="65">
        <v>400</v>
      </c>
      <c r="I195" s="66"/>
      <c r="J195" s="67" t="s">
        <v>1406</v>
      </c>
      <c r="K195" s="67">
        <v>8818</v>
      </c>
      <c r="L195" s="69" t="s">
        <v>31</v>
      </c>
      <c r="M195" s="69" t="s">
        <v>75</v>
      </c>
      <c r="N195" s="69" t="s">
        <v>23</v>
      </c>
      <c r="O195" s="69" t="s">
        <v>75</v>
      </c>
      <c r="P195" s="69" t="s">
        <v>21</v>
      </c>
    </row>
    <row r="196" s="59" customFormat="1" spans="1:16">
      <c r="A196" s="66" t="s">
        <v>1407</v>
      </c>
      <c r="B196" s="66" t="s">
        <v>17</v>
      </c>
      <c r="C196" s="66" t="s">
        <v>904</v>
      </c>
      <c r="D196" s="67" t="s">
        <v>18</v>
      </c>
      <c r="E196" s="66" t="s">
        <v>1408</v>
      </c>
      <c r="F196" s="66" t="s">
        <v>1409</v>
      </c>
      <c r="G196" s="66" t="s">
        <v>21</v>
      </c>
      <c r="H196" s="65">
        <v>200</v>
      </c>
      <c r="I196" s="66" t="s">
        <v>1014</v>
      </c>
      <c r="J196" s="67" t="s">
        <v>1410</v>
      </c>
      <c r="K196" s="67">
        <v>4588.4</v>
      </c>
      <c r="L196" s="67" t="s">
        <v>31</v>
      </c>
      <c r="M196" s="67" t="s">
        <v>52</v>
      </c>
      <c r="N196" s="67" t="s">
        <v>23</v>
      </c>
      <c r="O196" s="67" t="s">
        <v>52</v>
      </c>
      <c r="P196" s="67" t="s">
        <v>21</v>
      </c>
    </row>
    <row r="197" s="59" customFormat="1" spans="1:16">
      <c r="A197" s="66" t="s">
        <v>1411</v>
      </c>
      <c r="B197" s="66" t="s">
        <v>17</v>
      </c>
      <c r="C197" s="66" t="s">
        <v>812</v>
      </c>
      <c r="D197" s="67" t="s">
        <v>18</v>
      </c>
      <c r="E197" s="66" t="s">
        <v>1412</v>
      </c>
      <c r="F197" s="66" t="s">
        <v>1413</v>
      </c>
      <c r="G197" s="66" t="s">
        <v>21</v>
      </c>
      <c r="H197" s="65">
        <v>400</v>
      </c>
      <c r="I197" s="66" t="s">
        <v>1014</v>
      </c>
      <c r="J197" s="67" t="s">
        <v>1414</v>
      </c>
      <c r="K197" s="67">
        <v>8196.8</v>
      </c>
      <c r="L197" s="67" t="s">
        <v>31</v>
      </c>
      <c r="M197" s="67" t="s">
        <v>52</v>
      </c>
      <c r="N197" s="67" t="s">
        <v>23</v>
      </c>
      <c r="O197" s="67" t="s">
        <v>52</v>
      </c>
      <c r="P197" s="67" t="s">
        <v>21</v>
      </c>
    </row>
    <row r="198" spans="1:16">
      <c r="A198" s="64" t="s">
        <v>1415</v>
      </c>
      <c r="B198" s="64" t="s">
        <v>17</v>
      </c>
      <c r="C198" s="64" t="s">
        <v>794</v>
      </c>
      <c r="D198" s="64" t="s">
        <v>28</v>
      </c>
      <c r="E198" s="64" t="s">
        <v>1412</v>
      </c>
      <c r="F198" s="64" t="s">
        <v>1413</v>
      </c>
      <c r="G198" s="64" t="s">
        <v>21</v>
      </c>
      <c r="H198" s="65">
        <v>30</v>
      </c>
      <c r="I198" s="66"/>
      <c r="J198" s="67" t="s">
        <v>1414</v>
      </c>
      <c r="K198" s="67">
        <v>614.76</v>
      </c>
      <c r="L198" s="68" t="s">
        <v>31</v>
      </c>
      <c r="M198" s="68" t="s">
        <v>32</v>
      </c>
      <c r="N198" s="68" t="s">
        <v>23</v>
      </c>
      <c r="O198" s="68" t="s">
        <v>32</v>
      </c>
      <c r="P198" s="68" t="s">
        <v>23</v>
      </c>
    </row>
    <row r="199" spans="1:16">
      <c r="A199" s="64" t="s">
        <v>1416</v>
      </c>
      <c r="B199" s="64" t="s">
        <v>17</v>
      </c>
      <c r="C199" s="64" t="s">
        <v>794</v>
      </c>
      <c r="D199" s="64" t="s">
        <v>28</v>
      </c>
      <c r="E199" s="64" t="s">
        <v>1417</v>
      </c>
      <c r="F199" s="64" t="s">
        <v>271</v>
      </c>
      <c r="G199" s="64" t="s">
        <v>23</v>
      </c>
      <c r="H199" s="65">
        <v>200</v>
      </c>
      <c r="I199" s="66" t="s">
        <v>1418</v>
      </c>
      <c r="J199" s="67" t="s">
        <v>1419</v>
      </c>
      <c r="K199" s="67">
        <v>5942</v>
      </c>
      <c r="L199" s="68" t="s">
        <v>31</v>
      </c>
      <c r="M199" s="68" t="s">
        <v>32</v>
      </c>
      <c r="N199" s="68" t="s">
        <v>23</v>
      </c>
      <c r="O199" s="68" t="s">
        <v>32</v>
      </c>
      <c r="P199" s="68" t="s">
        <v>23</v>
      </c>
    </row>
    <row r="200" spans="1:16">
      <c r="A200" s="64" t="s">
        <v>1420</v>
      </c>
      <c r="B200" s="64" t="s">
        <v>17</v>
      </c>
      <c r="C200" s="64" t="s">
        <v>794</v>
      </c>
      <c r="D200" s="64" t="s">
        <v>28</v>
      </c>
      <c r="E200" s="64" t="s">
        <v>1421</v>
      </c>
      <c r="F200" s="64" t="s">
        <v>1422</v>
      </c>
      <c r="G200" s="64" t="s">
        <v>23</v>
      </c>
      <c r="H200" s="65">
        <v>120</v>
      </c>
      <c r="I200" s="66"/>
      <c r="J200" s="67" t="s">
        <v>1423</v>
      </c>
      <c r="K200" s="67">
        <v>2604</v>
      </c>
      <c r="L200" s="68" t="s">
        <v>31</v>
      </c>
      <c r="M200" s="68" t="s">
        <v>32</v>
      </c>
      <c r="N200" s="68" t="s">
        <v>23</v>
      </c>
      <c r="O200" s="68" t="s">
        <v>32</v>
      </c>
      <c r="P200" s="68" t="s">
        <v>23</v>
      </c>
    </row>
    <row r="201" spans="1:16">
      <c r="A201" s="64" t="s">
        <v>1424</v>
      </c>
      <c r="B201" s="64" t="s">
        <v>17</v>
      </c>
      <c r="C201" s="64" t="s">
        <v>794</v>
      </c>
      <c r="D201" s="64" t="s">
        <v>28</v>
      </c>
      <c r="E201" s="64" t="s">
        <v>1425</v>
      </c>
      <c r="F201" s="64" t="s">
        <v>1426</v>
      </c>
      <c r="G201" s="64" t="s">
        <v>21</v>
      </c>
      <c r="H201" s="65">
        <v>120</v>
      </c>
      <c r="I201" s="66"/>
      <c r="J201" s="67" t="s">
        <v>1427</v>
      </c>
      <c r="K201" s="67">
        <v>2035.8</v>
      </c>
      <c r="L201" s="68" t="s">
        <v>31</v>
      </c>
      <c r="M201" s="68" t="s">
        <v>32</v>
      </c>
      <c r="N201" s="68" t="s">
        <v>23</v>
      </c>
      <c r="O201" s="68" t="s">
        <v>32</v>
      </c>
      <c r="P201" s="68" t="s">
        <v>23</v>
      </c>
    </row>
    <row r="202" s="59" customFormat="1" spans="1:16">
      <c r="A202" s="66" t="s">
        <v>1428</v>
      </c>
      <c r="B202" s="66" t="s">
        <v>17</v>
      </c>
      <c r="C202" s="66" t="s">
        <v>904</v>
      </c>
      <c r="D202" s="67" t="s">
        <v>18</v>
      </c>
      <c r="E202" s="66" t="s">
        <v>1429</v>
      </c>
      <c r="F202" s="66" t="s">
        <v>1430</v>
      </c>
      <c r="G202" s="66" t="s">
        <v>21</v>
      </c>
      <c r="H202" s="65">
        <v>406</v>
      </c>
      <c r="I202" s="66"/>
      <c r="J202" s="67" t="s">
        <v>1431</v>
      </c>
      <c r="K202" s="67">
        <v>9817.08</v>
      </c>
      <c r="L202" s="69" t="s">
        <v>31</v>
      </c>
      <c r="M202" s="69" t="s">
        <v>52</v>
      </c>
      <c r="N202" s="69" t="s">
        <v>23</v>
      </c>
      <c r="O202" s="67" t="s">
        <v>52</v>
      </c>
      <c r="P202" s="69" t="s">
        <v>21</v>
      </c>
    </row>
    <row r="203" s="59" customFormat="1" spans="1:16">
      <c r="A203" s="66" t="s">
        <v>1432</v>
      </c>
      <c r="B203" s="66" t="s">
        <v>17</v>
      </c>
      <c r="C203" s="66" t="s">
        <v>803</v>
      </c>
      <c r="D203" s="67" t="s">
        <v>18</v>
      </c>
      <c r="E203" s="66" t="s">
        <v>1433</v>
      </c>
      <c r="F203" s="66" t="s">
        <v>1434</v>
      </c>
      <c r="G203" s="66" t="s">
        <v>21</v>
      </c>
      <c r="H203" s="65">
        <v>300</v>
      </c>
      <c r="I203" s="69" t="s">
        <v>804</v>
      </c>
      <c r="J203" s="67" t="s">
        <v>1435</v>
      </c>
      <c r="K203" s="67">
        <v>6971.1</v>
      </c>
      <c r="L203" s="69" t="s">
        <v>31</v>
      </c>
      <c r="M203" s="69" t="s">
        <v>52</v>
      </c>
      <c r="N203" s="69" t="s">
        <v>23</v>
      </c>
      <c r="O203" s="67" t="s">
        <v>52</v>
      </c>
      <c r="P203" s="69" t="s">
        <v>21</v>
      </c>
    </row>
    <row r="204" s="59" customFormat="1" spans="1:16">
      <c r="A204" s="66" t="s">
        <v>1436</v>
      </c>
      <c r="B204" s="66" t="s">
        <v>17</v>
      </c>
      <c r="C204" s="66" t="s">
        <v>867</v>
      </c>
      <c r="D204" s="67" t="s">
        <v>18</v>
      </c>
      <c r="E204" s="66" t="s">
        <v>1437</v>
      </c>
      <c r="F204" s="66" t="s">
        <v>1438</v>
      </c>
      <c r="G204" s="66" t="s">
        <v>21</v>
      </c>
      <c r="H204" s="65">
        <v>250</v>
      </c>
      <c r="I204" s="66"/>
      <c r="J204" s="67" t="s">
        <v>1439</v>
      </c>
      <c r="K204" s="67">
        <v>4675</v>
      </c>
      <c r="L204" s="69" t="s">
        <v>22</v>
      </c>
      <c r="M204" s="67"/>
      <c r="N204" s="67"/>
      <c r="O204" s="67"/>
      <c r="P204" s="69" t="s">
        <v>21</v>
      </c>
    </row>
    <row r="205" spans="1:16">
      <c r="A205" s="64" t="s">
        <v>1440</v>
      </c>
      <c r="B205" s="64" t="s">
        <v>17</v>
      </c>
      <c r="C205" s="64" t="s">
        <v>794</v>
      </c>
      <c r="D205" s="64" t="s">
        <v>28</v>
      </c>
      <c r="E205" s="64" t="s">
        <v>1433</v>
      </c>
      <c r="F205" s="64" t="s">
        <v>1434</v>
      </c>
      <c r="G205" s="64" t="s">
        <v>21</v>
      </c>
      <c r="H205" s="65">
        <v>30</v>
      </c>
      <c r="I205" s="66"/>
      <c r="J205" s="67" t="s">
        <v>1435</v>
      </c>
      <c r="K205" s="67">
        <v>697.11</v>
      </c>
      <c r="L205" s="68" t="s">
        <v>31</v>
      </c>
      <c r="M205" s="68" t="s">
        <v>32</v>
      </c>
      <c r="N205" s="68" t="s">
        <v>23</v>
      </c>
      <c r="O205" s="68" t="s">
        <v>32</v>
      </c>
      <c r="P205" s="68" t="s">
        <v>23</v>
      </c>
    </row>
    <row r="206" s="59" customFormat="1" spans="1:16">
      <c r="A206" s="66" t="s">
        <v>1441</v>
      </c>
      <c r="B206" s="66" t="s">
        <v>17</v>
      </c>
      <c r="C206" s="66" t="s">
        <v>904</v>
      </c>
      <c r="D206" s="67" t="s">
        <v>18</v>
      </c>
      <c r="E206" s="66" t="s">
        <v>1442</v>
      </c>
      <c r="F206" s="66" t="s">
        <v>1443</v>
      </c>
      <c r="G206" s="66" t="s">
        <v>21</v>
      </c>
      <c r="H206" s="65">
        <v>100</v>
      </c>
      <c r="I206" s="66"/>
      <c r="J206" s="67" t="s">
        <v>1444</v>
      </c>
      <c r="K206" s="67">
        <v>2348.98</v>
      </c>
      <c r="L206" s="69" t="s">
        <v>31</v>
      </c>
      <c r="M206" s="69" t="s">
        <v>1381</v>
      </c>
      <c r="N206" s="69" t="s">
        <v>23</v>
      </c>
      <c r="O206" s="69" t="s">
        <v>1381</v>
      </c>
      <c r="P206" s="69" t="s">
        <v>21</v>
      </c>
    </row>
    <row r="207" s="59" customFormat="1" spans="1:16">
      <c r="A207" s="66" t="s">
        <v>1445</v>
      </c>
      <c r="B207" s="66" t="s">
        <v>17</v>
      </c>
      <c r="C207" s="66" t="s">
        <v>904</v>
      </c>
      <c r="D207" s="67" t="s">
        <v>18</v>
      </c>
      <c r="E207" s="66" t="s">
        <v>1446</v>
      </c>
      <c r="F207" s="66" t="s">
        <v>1447</v>
      </c>
      <c r="G207" s="66" t="s">
        <v>21</v>
      </c>
      <c r="H207" s="65">
        <v>100</v>
      </c>
      <c r="I207" s="66"/>
      <c r="J207" s="67" t="s">
        <v>1448</v>
      </c>
      <c r="K207" s="67">
        <v>3360.9</v>
      </c>
      <c r="L207" s="69" t="s">
        <v>31</v>
      </c>
      <c r="M207" s="69" t="s">
        <v>1381</v>
      </c>
      <c r="N207" s="69" t="s">
        <v>23</v>
      </c>
      <c r="O207" s="69" t="s">
        <v>1381</v>
      </c>
      <c r="P207" s="69" t="s">
        <v>21</v>
      </c>
    </row>
    <row r="208" s="59" customFormat="1" spans="1:16">
      <c r="A208" s="66" t="s">
        <v>1449</v>
      </c>
      <c r="B208" s="66" t="s">
        <v>17</v>
      </c>
      <c r="C208" s="66" t="s">
        <v>946</v>
      </c>
      <c r="D208" s="66" t="s">
        <v>18</v>
      </c>
      <c r="E208" s="66" t="s">
        <v>1450</v>
      </c>
      <c r="F208" s="66" t="s">
        <v>1451</v>
      </c>
      <c r="G208" s="66" t="s">
        <v>21</v>
      </c>
      <c r="H208" s="65">
        <v>500</v>
      </c>
      <c r="I208" s="69" t="s">
        <v>1014</v>
      </c>
      <c r="J208" s="67" t="s">
        <v>1452</v>
      </c>
      <c r="K208" s="67">
        <v>6358</v>
      </c>
      <c r="L208" s="69" t="s">
        <v>31</v>
      </c>
      <c r="M208" s="69" t="s">
        <v>52</v>
      </c>
      <c r="N208" s="69" t="s">
        <v>23</v>
      </c>
      <c r="O208" s="69" t="s">
        <v>52</v>
      </c>
      <c r="P208" s="69" t="s">
        <v>21</v>
      </c>
    </row>
    <row r="209" s="59" customFormat="1" spans="1:16">
      <c r="A209" s="66" t="s">
        <v>1453</v>
      </c>
      <c r="B209" s="66" t="s">
        <v>17</v>
      </c>
      <c r="C209" s="66" t="s">
        <v>946</v>
      </c>
      <c r="D209" s="66" t="s">
        <v>18</v>
      </c>
      <c r="E209" s="66" t="s">
        <v>1454</v>
      </c>
      <c r="F209" s="66" t="s">
        <v>1455</v>
      </c>
      <c r="G209" s="66" t="s">
        <v>21</v>
      </c>
      <c r="H209" s="65">
        <v>300</v>
      </c>
      <c r="I209" s="69" t="s">
        <v>804</v>
      </c>
      <c r="J209" s="67" t="s">
        <v>1456</v>
      </c>
      <c r="K209" s="67">
        <v>6211.5</v>
      </c>
      <c r="L209" s="69" t="s">
        <v>31</v>
      </c>
      <c r="M209" s="69" t="s">
        <v>52</v>
      </c>
      <c r="N209" s="69" t="s">
        <v>23</v>
      </c>
      <c r="O209" s="69" t="s">
        <v>52</v>
      </c>
      <c r="P209" s="69" t="s">
        <v>21</v>
      </c>
    </row>
    <row r="210" spans="1:16">
      <c r="A210" s="64" t="s">
        <v>1457</v>
      </c>
      <c r="B210" s="64" t="s">
        <v>17</v>
      </c>
      <c r="C210" s="64" t="s">
        <v>794</v>
      </c>
      <c r="D210" s="64" t="s">
        <v>28</v>
      </c>
      <c r="E210" s="64" t="s">
        <v>1458</v>
      </c>
      <c r="F210" s="64" t="s">
        <v>1459</v>
      </c>
      <c r="G210" s="64" t="s">
        <v>21</v>
      </c>
      <c r="H210" s="65">
        <v>30</v>
      </c>
      <c r="I210" s="66"/>
      <c r="J210" s="67" t="s">
        <v>1460</v>
      </c>
      <c r="K210" s="67">
        <v>680.76</v>
      </c>
      <c r="L210" s="68" t="s">
        <v>31</v>
      </c>
      <c r="M210" s="68" t="s">
        <v>32</v>
      </c>
      <c r="N210" s="68" t="s">
        <v>23</v>
      </c>
      <c r="O210" s="68" t="s">
        <v>32</v>
      </c>
      <c r="P210" s="68" t="s">
        <v>23</v>
      </c>
    </row>
    <row r="211" s="59" customFormat="1" spans="1:16">
      <c r="A211" s="66" t="s">
        <v>1461</v>
      </c>
      <c r="B211" s="66" t="s">
        <v>17</v>
      </c>
      <c r="C211" s="66" t="s">
        <v>858</v>
      </c>
      <c r="D211" s="66" t="s">
        <v>18</v>
      </c>
      <c r="E211" s="66" t="s">
        <v>1458</v>
      </c>
      <c r="F211" s="66" t="s">
        <v>1459</v>
      </c>
      <c r="G211" s="66" t="s">
        <v>21</v>
      </c>
      <c r="H211" s="65">
        <v>400</v>
      </c>
      <c r="I211" s="66"/>
      <c r="J211" s="67" t="s">
        <v>1460</v>
      </c>
      <c r="K211" s="67">
        <v>9076.8</v>
      </c>
      <c r="L211" s="69" t="s">
        <v>31</v>
      </c>
      <c r="M211" s="69" t="s">
        <v>52</v>
      </c>
      <c r="N211" s="69" t="s">
        <v>23</v>
      </c>
      <c r="O211" s="69" t="s">
        <v>52</v>
      </c>
      <c r="P211" s="69" t="s">
        <v>21</v>
      </c>
    </row>
    <row r="212" spans="1:16">
      <c r="A212" s="64" t="s">
        <v>1462</v>
      </c>
      <c r="B212" s="64" t="s">
        <v>17</v>
      </c>
      <c r="C212" s="64" t="s">
        <v>794</v>
      </c>
      <c r="D212" s="64" t="s">
        <v>28</v>
      </c>
      <c r="E212" s="64" t="s">
        <v>1454</v>
      </c>
      <c r="F212" s="64" t="s">
        <v>1455</v>
      </c>
      <c r="G212" s="64" t="s">
        <v>21</v>
      </c>
      <c r="H212" s="65">
        <v>50</v>
      </c>
      <c r="I212" s="66"/>
      <c r="J212" s="67" t="s">
        <v>1456</v>
      </c>
      <c r="K212" s="67">
        <v>1035.25</v>
      </c>
      <c r="L212" s="68" t="s">
        <v>31</v>
      </c>
      <c r="M212" s="68" t="s">
        <v>32</v>
      </c>
      <c r="N212" s="68" t="s">
        <v>23</v>
      </c>
      <c r="O212" s="68" t="s">
        <v>32</v>
      </c>
      <c r="P212" s="68" t="s">
        <v>23</v>
      </c>
    </row>
    <row r="213" s="60" customFormat="1" spans="1:16">
      <c r="A213" s="66" t="s">
        <v>1463</v>
      </c>
      <c r="B213" s="66" t="s">
        <v>17</v>
      </c>
      <c r="C213" s="66" t="s">
        <v>904</v>
      </c>
      <c r="D213" s="66" t="s">
        <v>18</v>
      </c>
      <c r="E213" s="66" t="s">
        <v>1464</v>
      </c>
      <c r="F213" s="66" t="s">
        <v>1465</v>
      </c>
      <c r="G213" s="66" t="s">
        <v>21</v>
      </c>
      <c r="H213" s="65">
        <v>304</v>
      </c>
      <c r="I213" s="69" t="s">
        <v>804</v>
      </c>
      <c r="J213" s="67" t="s">
        <v>1466</v>
      </c>
      <c r="K213" s="67">
        <v>7931.968</v>
      </c>
      <c r="L213" s="69" t="s">
        <v>31</v>
      </c>
      <c r="M213" s="69" t="s">
        <v>52</v>
      </c>
      <c r="N213" s="69" t="s">
        <v>23</v>
      </c>
      <c r="O213" s="69" t="s">
        <v>52</v>
      </c>
      <c r="P213" s="69" t="s">
        <v>21</v>
      </c>
    </row>
    <row r="214" s="59" customFormat="1" spans="1:16">
      <c r="A214" s="66" t="s">
        <v>1467</v>
      </c>
      <c r="B214" s="66" t="s">
        <v>17</v>
      </c>
      <c r="C214" s="66" t="s">
        <v>858</v>
      </c>
      <c r="D214" s="66" t="s">
        <v>18</v>
      </c>
      <c r="E214" s="66" t="s">
        <v>336</v>
      </c>
      <c r="F214" s="66" t="s">
        <v>337</v>
      </c>
      <c r="G214" s="66" t="s">
        <v>23</v>
      </c>
      <c r="H214" s="65">
        <v>300</v>
      </c>
      <c r="I214" s="66" t="s">
        <v>846</v>
      </c>
      <c r="J214" s="67" t="s">
        <v>1468</v>
      </c>
      <c r="K214" s="67">
        <v>3060</v>
      </c>
      <c r="L214" s="69" t="s">
        <v>22</v>
      </c>
      <c r="M214" s="67"/>
      <c r="N214" s="67"/>
      <c r="O214" s="67"/>
      <c r="P214" s="69" t="s">
        <v>21</v>
      </c>
    </row>
    <row r="215" s="59" customFormat="1" spans="1:16">
      <c r="A215" s="66" t="s">
        <v>1469</v>
      </c>
      <c r="B215" s="66" t="s">
        <v>17</v>
      </c>
      <c r="C215" s="66" t="s">
        <v>858</v>
      </c>
      <c r="D215" s="66" t="s">
        <v>18</v>
      </c>
      <c r="E215" s="66" t="s">
        <v>219</v>
      </c>
      <c r="F215" s="66" t="s">
        <v>220</v>
      </c>
      <c r="G215" s="66" t="s">
        <v>23</v>
      </c>
      <c r="H215" s="65">
        <v>300</v>
      </c>
      <c r="I215" s="66"/>
      <c r="J215" s="67" t="s">
        <v>940</v>
      </c>
      <c r="K215" s="67">
        <v>2700</v>
      </c>
      <c r="L215" s="69" t="s">
        <v>22</v>
      </c>
      <c r="M215" s="67"/>
      <c r="N215" s="67"/>
      <c r="O215" s="67"/>
      <c r="P215" s="69" t="s">
        <v>21</v>
      </c>
    </row>
    <row r="216" s="59" customFormat="1" spans="1:16">
      <c r="A216" s="66" t="s">
        <v>1470</v>
      </c>
      <c r="B216" s="66" t="s">
        <v>17</v>
      </c>
      <c r="C216" s="66" t="s">
        <v>904</v>
      </c>
      <c r="D216" s="67" t="s">
        <v>18</v>
      </c>
      <c r="E216" s="66" t="s">
        <v>1471</v>
      </c>
      <c r="F216" s="66" t="s">
        <v>1472</v>
      </c>
      <c r="G216" s="66" t="s">
        <v>21</v>
      </c>
      <c r="H216" s="65">
        <v>320</v>
      </c>
      <c r="I216" s="66" t="s">
        <v>846</v>
      </c>
      <c r="J216" s="67" t="s">
        <v>1473</v>
      </c>
      <c r="K216" s="67">
        <v>5590.336</v>
      </c>
      <c r="L216" s="69" t="s">
        <v>31</v>
      </c>
      <c r="M216" s="69" t="s">
        <v>1381</v>
      </c>
      <c r="N216" s="69" t="s">
        <v>23</v>
      </c>
      <c r="O216" s="69" t="s">
        <v>1381</v>
      </c>
      <c r="P216" s="69" t="s">
        <v>21</v>
      </c>
    </row>
    <row r="217" spans="1:16">
      <c r="A217" s="64" t="s">
        <v>1474</v>
      </c>
      <c r="B217" s="64" t="s">
        <v>17</v>
      </c>
      <c r="C217" s="64" t="s">
        <v>794</v>
      </c>
      <c r="D217" s="64" t="s">
        <v>28</v>
      </c>
      <c r="E217" s="64" t="s">
        <v>1475</v>
      </c>
      <c r="F217" s="64" t="s">
        <v>1476</v>
      </c>
      <c r="G217" s="64" t="s">
        <v>21</v>
      </c>
      <c r="H217" s="65">
        <v>30</v>
      </c>
      <c r="I217" s="66"/>
      <c r="J217" s="67" t="s">
        <v>1477</v>
      </c>
      <c r="K217" s="67">
        <v>541.35</v>
      </c>
      <c r="L217" s="68" t="s">
        <v>31</v>
      </c>
      <c r="M217" s="68" t="s">
        <v>32</v>
      </c>
      <c r="N217" s="68" t="s">
        <v>23</v>
      </c>
      <c r="O217" s="68" t="s">
        <v>32</v>
      </c>
      <c r="P217" s="68" t="s">
        <v>23</v>
      </c>
    </row>
    <row r="218" spans="1:16">
      <c r="A218" s="64" t="s">
        <v>1478</v>
      </c>
      <c r="B218" s="64" t="s">
        <v>17</v>
      </c>
      <c r="C218" s="64" t="s">
        <v>794</v>
      </c>
      <c r="D218" s="64" t="s">
        <v>28</v>
      </c>
      <c r="E218" s="64" t="s">
        <v>1479</v>
      </c>
      <c r="F218" s="64" t="s">
        <v>1480</v>
      </c>
      <c r="G218" s="64" t="s">
        <v>21</v>
      </c>
      <c r="H218" s="65">
        <v>30</v>
      </c>
      <c r="I218" s="66"/>
      <c r="J218" s="67" t="s">
        <v>1481</v>
      </c>
      <c r="K218" s="67">
        <v>710.76</v>
      </c>
      <c r="L218" s="68" t="s">
        <v>31</v>
      </c>
      <c r="M218" s="68" t="s">
        <v>32</v>
      </c>
      <c r="N218" s="68" t="s">
        <v>23</v>
      </c>
      <c r="O218" s="68" t="s">
        <v>32</v>
      </c>
      <c r="P218" s="68" t="s">
        <v>23</v>
      </c>
    </row>
    <row r="219" s="59" customFormat="1" spans="1:16">
      <c r="A219" s="66" t="s">
        <v>1482</v>
      </c>
      <c r="B219" s="66" t="s">
        <v>17</v>
      </c>
      <c r="C219" s="66" t="s">
        <v>906</v>
      </c>
      <c r="D219" s="67" t="s">
        <v>18</v>
      </c>
      <c r="E219" s="66" t="s">
        <v>1483</v>
      </c>
      <c r="F219" s="66" t="s">
        <v>1484</v>
      </c>
      <c r="G219" s="66" t="s">
        <v>23</v>
      </c>
      <c r="H219" s="65">
        <v>100</v>
      </c>
      <c r="I219" s="66"/>
      <c r="J219" s="67" t="s">
        <v>1485</v>
      </c>
      <c r="K219" s="67">
        <v>1500</v>
      </c>
      <c r="L219" s="69" t="s">
        <v>22</v>
      </c>
      <c r="M219" s="67"/>
      <c r="N219" s="67"/>
      <c r="O219" s="67"/>
      <c r="P219" s="69" t="s">
        <v>21</v>
      </c>
    </row>
    <row r="220" s="59" customFormat="1" spans="1:16">
      <c r="A220" s="66" t="s">
        <v>1486</v>
      </c>
      <c r="B220" s="66" t="s">
        <v>17</v>
      </c>
      <c r="C220" s="66" t="s">
        <v>812</v>
      </c>
      <c r="D220" s="67" t="s">
        <v>18</v>
      </c>
      <c r="E220" s="66" t="s">
        <v>1479</v>
      </c>
      <c r="F220" s="66" t="s">
        <v>1480</v>
      </c>
      <c r="G220" s="66" t="s">
        <v>21</v>
      </c>
      <c r="H220" s="65">
        <v>400</v>
      </c>
      <c r="I220" s="66"/>
      <c r="J220" s="67" t="s">
        <v>1481</v>
      </c>
      <c r="K220" s="67">
        <v>9476.8</v>
      </c>
      <c r="L220" s="69" t="s">
        <v>31</v>
      </c>
      <c r="M220" s="69" t="s">
        <v>52</v>
      </c>
      <c r="N220" s="69" t="s">
        <v>23</v>
      </c>
      <c r="O220" s="69" t="s">
        <v>52</v>
      </c>
      <c r="P220" s="69" t="s">
        <v>21</v>
      </c>
    </row>
    <row r="221" s="59" customFormat="1" spans="1:16">
      <c r="A221" s="66" t="s">
        <v>1487</v>
      </c>
      <c r="B221" s="66" t="s">
        <v>17</v>
      </c>
      <c r="C221" s="66" t="s">
        <v>904</v>
      </c>
      <c r="D221" s="67" t="s">
        <v>18</v>
      </c>
      <c r="E221" s="66" t="s">
        <v>1488</v>
      </c>
      <c r="F221" s="66" t="s">
        <v>1489</v>
      </c>
      <c r="G221" s="66" t="s">
        <v>21</v>
      </c>
      <c r="H221" s="65">
        <v>400</v>
      </c>
      <c r="I221" s="66" t="s">
        <v>1014</v>
      </c>
      <c r="J221" s="67" t="s">
        <v>1490</v>
      </c>
      <c r="K221" s="67">
        <v>10216.8</v>
      </c>
      <c r="L221" s="67" t="s">
        <v>31</v>
      </c>
      <c r="M221" s="67" t="s">
        <v>52</v>
      </c>
      <c r="N221" s="67" t="s">
        <v>23</v>
      </c>
      <c r="O221" s="67" t="s">
        <v>52</v>
      </c>
      <c r="P221" s="67" t="s">
        <v>21</v>
      </c>
    </row>
    <row r="222" spans="1:16">
      <c r="A222" s="64" t="s">
        <v>1491</v>
      </c>
      <c r="B222" s="64" t="s">
        <v>17</v>
      </c>
      <c r="C222" s="64" t="s">
        <v>794</v>
      </c>
      <c r="D222" s="64" t="s">
        <v>28</v>
      </c>
      <c r="E222" s="64" t="s">
        <v>1492</v>
      </c>
      <c r="F222" s="64" t="s">
        <v>1493</v>
      </c>
      <c r="G222" s="64" t="s">
        <v>21</v>
      </c>
      <c r="H222" s="65">
        <v>30</v>
      </c>
      <c r="I222" s="66"/>
      <c r="J222" s="67" t="s">
        <v>1494</v>
      </c>
      <c r="K222" s="67">
        <v>617.7</v>
      </c>
      <c r="L222" s="68" t="s">
        <v>31</v>
      </c>
      <c r="M222" s="68" t="s">
        <v>32</v>
      </c>
      <c r="N222" s="68" t="s">
        <v>23</v>
      </c>
      <c r="O222" s="68" t="s">
        <v>32</v>
      </c>
      <c r="P222" s="68" t="s">
        <v>23</v>
      </c>
    </row>
    <row r="223" s="59" customFormat="1" spans="1:16">
      <c r="A223" s="66" t="s">
        <v>1495</v>
      </c>
      <c r="B223" s="66" t="s">
        <v>17</v>
      </c>
      <c r="C223" s="66" t="s">
        <v>904</v>
      </c>
      <c r="D223" s="67" t="s">
        <v>18</v>
      </c>
      <c r="E223" s="66" t="s">
        <v>1496</v>
      </c>
      <c r="F223" s="66" t="s">
        <v>1497</v>
      </c>
      <c r="G223" s="66" t="s">
        <v>21</v>
      </c>
      <c r="H223" s="65">
        <v>240</v>
      </c>
      <c r="I223" s="66"/>
      <c r="J223" s="67" t="s">
        <v>1498</v>
      </c>
      <c r="K223" s="67">
        <v>3769.2</v>
      </c>
      <c r="L223" s="69" t="s">
        <v>31</v>
      </c>
      <c r="M223" s="69" t="s">
        <v>52</v>
      </c>
      <c r="N223" s="69" t="s">
        <v>23</v>
      </c>
      <c r="O223" s="69" t="s">
        <v>52</v>
      </c>
      <c r="P223" s="69" t="s">
        <v>23</v>
      </c>
    </row>
    <row r="224" s="59" customFormat="1" spans="1:16">
      <c r="A224" s="66" t="s">
        <v>1499</v>
      </c>
      <c r="B224" s="66" t="s">
        <v>17</v>
      </c>
      <c r="C224" s="66" t="s">
        <v>946</v>
      </c>
      <c r="D224" s="67" t="s">
        <v>18</v>
      </c>
      <c r="E224" s="66" t="s">
        <v>1492</v>
      </c>
      <c r="F224" s="66" t="s">
        <v>1493</v>
      </c>
      <c r="G224" s="66" t="s">
        <v>21</v>
      </c>
      <c r="H224" s="65">
        <v>400</v>
      </c>
      <c r="I224" s="66"/>
      <c r="J224" s="67" t="s">
        <v>1494</v>
      </c>
      <c r="K224" s="67">
        <v>8236</v>
      </c>
      <c r="L224" s="69" t="s">
        <v>31</v>
      </c>
      <c r="M224" s="69" t="s">
        <v>52</v>
      </c>
      <c r="N224" s="69" t="s">
        <v>23</v>
      </c>
      <c r="O224" s="69" t="s">
        <v>52</v>
      </c>
      <c r="P224" s="69" t="s">
        <v>21</v>
      </c>
    </row>
    <row r="225" s="59" customFormat="1" spans="1:16">
      <c r="A225" s="66" t="s">
        <v>1500</v>
      </c>
      <c r="B225" s="66" t="s">
        <v>17</v>
      </c>
      <c r="C225" s="66" t="s">
        <v>812</v>
      </c>
      <c r="D225" s="67" t="s">
        <v>18</v>
      </c>
      <c r="E225" s="66" t="s">
        <v>544</v>
      </c>
      <c r="F225" s="66" t="s">
        <v>545</v>
      </c>
      <c r="G225" s="66" t="s">
        <v>21</v>
      </c>
      <c r="H225" s="65">
        <v>25</v>
      </c>
      <c r="I225" s="66"/>
      <c r="J225" s="67" t="s">
        <v>1501</v>
      </c>
      <c r="K225" s="67">
        <v>328.75</v>
      </c>
      <c r="L225" s="69" t="s">
        <v>31</v>
      </c>
      <c r="M225" s="69" t="s">
        <v>52</v>
      </c>
      <c r="N225" s="69" t="s">
        <v>23</v>
      </c>
      <c r="O225" s="69" t="s">
        <v>52</v>
      </c>
      <c r="P225" s="69" t="s">
        <v>21</v>
      </c>
    </row>
    <row r="226" spans="1:16">
      <c r="A226" s="64" t="s">
        <v>1502</v>
      </c>
      <c r="B226" s="64" t="s">
        <v>17</v>
      </c>
      <c r="C226" s="64" t="s">
        <v>794</v>
      </c>
      <c r="D226" s="64" t="s">
        <v>28</v>
      </c>
      <c r="E226" s="64" t="s">
        <v>1503</v>
      </c>
      <c r="F226" s="64" t="s">
        <v>1504</v>
      </c>
      <c r="G226" s="64" t="s">
        <v>21</v>
      </c>
      <c r="H226" s="65">
        <v>30</v>
      </c>
      <c r="I226" s="66"/>
      <c r="J226" s="67" t="s">
        <v>1505</v>
      </c>
      <c r="K226" s="67">
        <v>481.35</v>
      </c>
      <c r="L226" s="68" t="s">
        <v>31</v>
      </c>
      <c r="M226" s="68" t="s">
        <v>32</v>
      </c>
      <c r="N226" s="68" t="s">
        <v>23</v>
      </c>
      <c r="O226" s="68" t="s">
        <v>32</v>
      </c>
      <c r="P226" s="68" t="s">
        <v>23</v>
      </c>
    </row>
    <row r="227" s="59" customFormat="1" spans="1:16">
      <c r="A227" s="66" t="s">
        <v>1506</v>
      </c>
      <c r="B227" s="66" t="s">
        <v>17</v>
      </c>
      <c r="C227" s="66" t="s">
        <v>904</v>
      </c>
      <c r="D227" s="67" t="s">
        <v>18</v>
      </c>
      <c r="E227" s="66" t="s">
        <v>1507</v>
      </c>
      <c r="F227" s="66" t="s">
        <v>1508</v>
      </c>
      <c r="G227" s="66" t="s">
        <v>21</v>
      </c>
      <c r="H227" s="65">
        <v>420</v>
      </c>
      <c r="I227" s="66"/>
      <c r="J227" s="67" t="s">
        <v>1509</v>
      </c>
      <c r="K227" s="67">
        <v>12700.8</v>
      </c>
      <c r="L227" s="69" t="s">
        <v>31</v>
      </c>
      <c r="M227" s="69" t="s">
        <v>75</v>
      </c>
      <c r="N227" s="69" t="s">
        <v>23</v>
      </c>
      <c r="O227" s="69" t="s">
        <v>75</v>
      </c>
      <c r="P227" s="69" t="s">
        <v>23</v>
      </c>
    </row>
    <row r="228" s="59" customFormat="1" spans="1:16">
      <c r="A228" s="66" t="s">
        <v>1510</v>
      </c>
      <c r="B228" s="66" t="s">
        <v>17</v>
      </c>
      <c r="C228" s="66" t="s">
        <v>867</v>
      </c>
      <c r="D228" s="67" t="s">
        <v>18</v>
      </c>
      <c r="E228" s="66" t="s">
        <v>1511</v>
      </c>
      <c r="F228" s="66" t="s">
        <v>1512</v>
      </c>
      <c r="G228" s="66" t="s">
        <v>21</v>
      </c>
      <c r="H228" s="65">
        <v>300</v>
      </c>
      <c r="I228" s="66"/>
      <c r="J228" s="67" t="s">
        <v>1513</v>
      </c>
      <c r="K228" s="67">
        <v>3730.5</v>
      </c>
      <c r="L228" s="69" t="s">
        <v>31</v>
      </c>
      <c r="M228" s="69" t="s">
        <v>52</v>
      </c>
      <c r="N228" s="69" t="s">
        <v>23</v>
      </c>
      <c r="O228" s="69" t="s">
        <v>52</v>
      </c>
      <c r="P228" s="69" t="s">
        <v>21</v>
      </c>
    </row>
    <row r="229" s="59" customFormat="1" spans="1:16">
      <c r="A229" s="66" t="s">
        <v>1514</v>
      </c>
      <c r="B229" s="66" t="s">
        <v>17</v>
      </c>
      <c r="C229" s="66" t="s">
        <v>904</v>
      </c>
      <c r="D229" s="67" t="s">
        <v>18</v>
      </c>
      <c r="E229" s="66" t="s">
        <v>1503</v>
      </c>
      <c r="F229" s="66" t="s">
        <v>1504</v>
      </c>
      <c r="G229" s="66" t="s">
        <v>21</v>
      </c>
      <c r="H229" s="65">
        <v>300</v>
      </c>
      <c r="I229" s="66"/>
      <c r="J229" s="67" t="s">
        <v>1505</v>
      </c>
      <c r="K229" s="67">
        <v>4813.5</v>
      </c>
      <c r="L229" s="67" t="s">
        <v>31</v>
      </c>
      <c r="M229" s="67" t="s">
        <v>75</v>
      </c>
      <c r="N229" s="67" t="s">
        <v>23</v>
      </c>
      <c r="O229" s="67" t="s">
        <v>75</v>
      </c>
      <c r="P229" s="67" t="s">
        <v>21</v>
      </c>
    </row>
    <row r="230" s="59" customFormat="1" spans="1:16">
      <c r="A230" s="66" t="s">
        <v>1515</v>
      </c>
      <c r="B230" s="66" t="s">
        <v>17</v>
      </c>
      <c r="C230" s="66" t="s">
        <v>946</v>
      </c>
      <c r="D230" s="67" t="s">
        <v>18</v>
      </c>
      <c r="E230" s="66" t="s">
        <v>1450</v>
      </c>
      <c r="F230" s="66" t="s">
        <v>1451</v>
      </c>
      <c r="G230" s="66" t="s">
        <v>21</v>
      </c>
      <c r="H230" s="65">
        <v>200</v>
      </c>
      <c r="I230" s="69" t="s">
        <v>1014</v>
      </c>
      <c r="J230" s="67" t="s">
        <v>1452</v>
      </c>
      <c r="K230" s="67">
        <v>2543.2</v>
      </c>
      <c r="L230" s="69" t="s">
        <v>31</v>
      </c>
      <c r="M230" s="69" t="s">
        <v>52</v>
      </c>
      <c r="N230" s="69" t="s">
        <v>23</v>
      </c>
      <c r="O230" s="69" t="s">
        <v>52</v>
      </c>
      <c r="P230" s="69" t="s">
        <v>23</v>
      </c>
    </row>
    <row r="231" spans="1:16">
      <c r="A231" s="64" t="s">
        <v>1516</v>
      </c>
      <c r="B231" s="64" t="s">
        <v>17</v>
      </c>
      <c r="C231" s="64" t="s">
        <v>862</v>
      </c>
      <c r="D231" s="68" t="s">
        <v>238</v>
      </c>
      <c r="E231" s="64" t="s">
        <v>863</v>
      </c>
      <c r="F231" s="64" t="s">
        <v>864</v>
      </c>
      <c r="G231" s="64" t="s">
        <v>23</v>
      </c>
      <c r="H231" s="65">
        <v>300</v>
      </c>
      <c r="I231" s="66"/>
      <c r="J231" s="67" t="s">
        <v>865</v>
      </c>
      <c r="K231" s="67">
        <v>1500</v>
      </c>
      <c r="L231" s="68" t="s">
        <v>31</v>
      </c>
      <c r="M231" s="68" t="s">
        <v>241</v>
      </c>
      <c r="N231" s="68" t="s">
        <v>23</v>
      </c>
      <c r="O231" s="68" t="s">
        <v>241</v>
      </c>
      <c r="P231" s="68" t="s">
        <v>23</v>
      </c>
    </row>
    <row r="232" s="59" customFormat="1" spans="1:16">
      <c r="A232" s="66" t="s">
        <v>1517</v>
      </c>
      <c r="B232" s="66" t="s">
        <v>17</v>
      </c>
      <c r="C232" s="66" t="s">
        <v>812</v>
      </c>
      <c r="D232" s="67" t="s">
        <v>18</v>
      </c>
      <c r="E232" s="66" t="s">
        <v>544</v>
      </c>
      <c r="F232" s="66" t="s">
        <v>545</v>
      </c>
      <c r="G232" s="66" t="s">
        <v>21</v>
      </c>
      <c r="H232" s="65">
        <v>800</v>
      </c>
      <c r="I232" s="66"/>
      <c r="J232" s="67" t="s">
        <v>1501</v>
      </c>
      <c r="K232" s="67">
        <v>10520</v>
      </c>
      <c r="L232" s="69" t="s">
        <v>31</v>
      </c>
      <c r="M232" s="69" t="s">
        <v>52</v>
      </c>
      <c r="N232" s="69" t="s">
        <v>23</v>
      </c>
      <c r="O232" s="69" t="s">
        <v>52</v>
      </c>
      <c r="P232" s="69" t="s">
        <v>21</v>
      </c>
    </row>
    <row r="233" s="59" customFormat="1" spans="1:16">
      <c r="A233" s="66" t="s">
        <v>1518</v>
      </c>
      <c r="B233" s="66" t="s">
        <v>17</v>
      </c>
      <c r="C233" s="66" t="s">
        <v>946</v>
      </c>
      <c r="D233" s="67" t="s">
        <v>18</v>
      </c>
      <c r="E233" s="66" t="s">
        <v>1519</v>
      </c>
      <c r="F233" s="66" t="s">
        <v>1520</v>
      </c>
      <c r="G233" s="66" t="s">
        <v>21</v>
      </c>
      <c r="H233" s="65">
        <v>300</v>
      </c>
      <c r="I233" s="70" t="s">
        <v>1014</v>
      </c>
      <c r="J233" s="67" t="s">
        <v>1521</v>
      </c>
      <c r="K233" s="67">
        <v>3493.5</v>
      </c>
      <c r="L233" s="70" t="s">
        <v>31</v>
      </c>
      <c r="M233" s="70" t="s">
        <v>52</v>
      </c>
      <c r="N233" s="70" t="s">
        <v>23</v>
      </c>
      <c r="O233" s="70" t="s">
        <v>52</v>
      </c>
      <c r="P233" s="70" t="s">
        <v>21</v>
      </c>
    </row>
    <row r="234" s="59" customFormat="1" spans="1:16">
      <c r="A234" s="66" t="s">
        <v>1522</v>
      </c>
      <c r="B234" s="66" t="s">
        <v>17</v>
      </c>
      <c r="C234" s="66" t="s">
        <v>858</v>
      </c>
      <c r="D234" s="67" t="s">
        <v>18</v>
      </c>
      <c r="E234" s="66" t="s">
        <v>1475</v>
      </c>
      <c r="F234" s="66" t="s">
        <v>1476</v>
      </c>
      <c r="G234" s="66" t="s">
        <v>21</v>
      </c>
      <c r="H234" s="65">
        <v>500</v>
      </c>
      <c r="I234" s="66"/>
      <c r="J234" s="67" t="s">
        <v>1477</v>
      </c>
      <c r="K234" s="67">
        <v>9022.5</v>
      </c>
      <c r="L234" s="69" t="s">
        <v>31</v>
      </c>
      <c r="M234" s="69" t="s">
        <v>158</v>
      </c>
      <c r="N234" s="69" t="s">
        <v>23</v>
      </c>
      <c r="O234" s="69" t="s">
        <v>158</v>
      </c>
      <c r="P234" s="69" t="s">
        <v>21</v>
      </c>
    </row>
    <row r="235" s="59" customFormat="1" spans="1:16">
      <c r="A235" s="66" t="s">
        <v>1523</v>
      </c>
      <c r="B235" s="66" t="s">
        <v>17</v>
      </c>
      <c r="C235" s="66" t="s">
        <v>906</v>
      </c>
      <c r="D235" s="67" t="s">
        <v>18</v>
      </c>
      <c r="E235" s="66" t="s">
        <v>1524</v>
      </c>
      <c r="F235" s="66" t="s">
        <v>1525</v>
      </c>
      <c r="G235" s="66" t="s">
        <v>23</v>
      </c>
      <c r="H235" s="65">
        <v>200</v>
      </c>
      <c r="I235" s="66"/>
      <c r="J235" s="67" t="s">
        <v>1526</v>
      </c>
      <c r="K235" s="67">
        <v>3266</v>
      </c>
      <c r="L235" s="67" t="s">
        <v>31</v>
      </c>
      <c r="M235" s="69" t="s">
        <v>1527</v>
      </c>
      <c r="N235" s="69" t="s">
        <v>21</v>
      </c>
      <c r="O235" s="67"/>
      <c r="P235" s="67" t="s">
        <v>21</v>
      </c>
    </row>
    <row r="236" s="59" customFormat="1" spans="1:16">
      <c r="A236" s="66" t="s">
        <v>1528</v>
      </c>
      <c r="B236" s="66" t="s">
        <v>17</v>
      </c>
      <c r="C236" s="66" t="s">
        <v>946</v>
      </c>
      <c r="D236" s="67" t="s">
        <v>18</v>
      </c>
      <c r="E236" s="66" t="s">
        <v>533</v>
      </c>
      <c r="F236" s="66" t="s">
        <v>534</v>
      </c>
      <c r="G236" s="66" t="s">
        <v>21</v>
      </c>
      <c r="H236" s="65">
        <v>1000</v>
      </c>
      <c r="I236" s="66"/>
      <c r="J236" s="67" t="s">
        <v>1529</v>
      </c>
      <c r="K236" s="67">
        <v>17941.1</v>
      </c>
      <c r="L236" s="69" t="s">
        <v>31</v>
      </c>
      <c r="M236" s="69" t="s">
        <v>52</v>
      </c>
      <c r="N236" s="69" t="s">
        <v>23</v>
      </c>
      <c r="O236" s="69" t="s">
        <v>52</v>
      </c>
      <c r="P236" s="69" t="s">
        <v>21</v>
      </c>
    </row>
    <row r="237" spans="1:16">
      <c r="A237" s="64" t="s">
        <v>1530</v>
      </c>
      <c r="B237" s="64" t="s">
        <v>17</v>
      </c>
      <c r="C237" s="64" t="s">
        <v>794</v>
      </c>
      <c r="D237" s="64" t="s">
        <v>28</v>
      </c>
      <c r="E237" s="64" t="s">
        <v>1531</v>
      </c>
      <c r="F237" s="64" t="s">
        <v>1532</v>
      </c>
      <c r="G237" s="64" t="s">
        <v>21</v>
      </c>
      <c r="H237" s="65">
        <v>30</v>
      </c>
      <c r="I237" s="66"/>
      <c r="J237" s="67" t="s">
        <v>1533</v>
      </c>
      <c r="K237" s="67">
        <v>382.83</v>
      </c>
      <c r="L237" s="68" t="s">
        <v>31</v>
      </c>
      <c r="M237" s="68" t="s">
        <v>32</v>
      </c>
      <c r="N237" s="68" t="s">
        <v>23</v>
      </c>
      <c r="O237" s="68" t="s">
        <v>32</v>
      </c>
      <c r="P237" s="68" t="s">
        <v>23</v>
      </c>
    </row>
    <row r="238" s="59" customFormat="1" spans="1:16">
      <c r="A238" s="66" t="s">
        <v>1534</v>
      </c>
      <c r="B238" s="66" t="s">
        <v>17</v>
      </c>
      <c r="C238" s="66" t="s">
        <v>946</v>
      </c>
      <c r="D238" s="67" t="s">
        <v>18</v>
      </c>
      <c r="E238" s="66" t="s">
        <v>1535</v>
      </c>
      <c r="F238" s="66" t="s">
        <v>1536</v>
      </c>
      <c r="G238" s="66" t="s">
        <v>21</v>
      </c>
      <c r="H238" s="65">
        <v>100</v>
      </c>
      <c r="I238" s="70" t="s">
        <v>1014</v>
      </c>
      <c r="J238" s="67" t="s">
        <v>1537</v>
      </c>
      <c r="K238" s="67">
        <v>2543.5</v>
      </c>
      <c r="L238" s="70" t="s">
        <v>31</v>
      </c>
      <c r="M238" s="70" t="s">
        <v>52</v>
      </c>
      <c r="N238" s="70" t="s">
        <v>23</v>
      </c>
      <c r="O238" s="70" t="s">
        <v>52</v>
      </c>
      <c r="P238" s="70" t="s">
        <v>21</v>
      </c>
    </row>
    <row r="239" s="59" customFormat="1" spans="1:16">
      <c r="A239" s="66" t="s">
        <v>1538</v>
      </c>
      <c r="B239" s="66" t="s">
        <v>17</v>
      </c>
      <c r="C239" s="66" t="s">
        <v>946</v>
      </c>
      <c r="D239" s="67" t="s">
        <v>18</v>
      </c>
      <c r="E239" s="66" t="s">
        <v>1531</v>
      </c>
      <c r="F239" s="66" t="s">
        <v>1532</v>
      </c>
      <c r="G239" s="66" t="s">
        <v>21</v>
      </c>
      <c r="H239" s="65">
        <v>300</v>
      </c>
      <c r="I239" s="70" t="s">
        <v>1014</v>
      </c>
      <c r="J239" s="67" t="s">
        <v>1533</v>
      </c>
      <c r="K239" s="67">
        <v>3828.3</v>
      </c>
      <c r="L239" s="70" t="s">
        <v>31</v>
      </c>
      <c r="M239" s="70" t="s">
        <v>52</v>
      </c>
      <c r="N239" s="70" t="s">
        <v>23</v>
      </c>
      <c r="O239" s="70" t="s">
        <v>52</v>
      </c>
      <c r="P239" s="70" t="s">
        <v>21</v>
      </c>
    </row>
    <row r="240" spans="1:16">
      <c r="A240" s="64" t="s">
        <v>1539</v>
      </c>
      <c r="B240" s="64" t="s">
        <v>17</v>
      </c>
      <c r="C240" s="64" t="s">
        <v>849</v>
      </c>
      <c r="D240" s="64" t="s">
        <v>28</v>
      </c>
      <c r="E240" s="64" t="s">
        <v>1264</v>
      </c>
      <c r="F240" s="64" t="s">
        <v>1265</v>
      </c>
      <c r="G240" s="64" t="s">
        <v>21</v>
      </c>
      <c r="H240" s="65">
        <v>120</v>
      </c>
      <c r="I240" s="66"/>
      <c r="J240" s="67" t="s">
        <v>1266</v>
      </c>
      <c r="K240" s="67">
        <v>1805.04</v>
      </c>
      <c r="L240" s="68" t="s">
        <v>31</v>
      </c>
      <c r="M240" s="68" t="s">
        <v>32</v>
      </c>
      <c r="N240" s="68" t="s">
        <v>23</v>
      </c>
      <c r="O240" s="68" t="s">
        <v>32</v>
      </c>
      <c r="P240" s="68" t="s">
        <v>23</v>
      </c>
    </row>
    <row r="241" s="59" customFormat="1" spans="1:16">
      <c r="A241" s="66" t="s">
        <v>1540</v>
      </c>
      <c r="B241" s="66" t="s">
        <v>17</v>
      </c>
      <c r="C241" s="66" t="s">
        <v>946</v>
      </c>
      <c r="D241" s="67" t="s">
        <v>18</v>
      </c>
      <c r="E241" s="66" t="s">
        <v>1083</v>
      </c>
      <c r="F241" s="66" t="s">
        <v>1084</v>
      </c>
      <c r="G241" s="66" t="s">
        <v>21</v>
      </c>
      <c r="H241" s="65">
        <v>300</v>
      </c>
      <c r="I241" s="66"/>
      <c r="J241" s="67" t="s">
        <v>1085</v>
      </c>
      <c r="K241" s="67">
        <v>2653.5</v>
      </c>
      <c r="L241" s="69" t="s">
        <v>22</v>
      </c>
      <c r="M241" s="67"/>
      <c r="N241" s="67"/>
      <c r="O241" s="67"/>
      <c r="P241" s="69" t="s">
        <v>21</v>
      </c>
    </row>
    <row r="242" s="59" customFormat="1" spans="1:16">
      <c r="A242" s="66" t="s">
        <v>1541</v>
      </c>
      <c r="B242" s="66" t="s">
        <v>17</v>
      </c>
      <c r="C242" s="66" t="s">
        <v>946</v>
      </c>
      <c r="D242" s="67" t="s">
        <v>18</v>
      </c>
      <c r="E242" s="66" t="s">
        <v>1542</v>
      </c>
      <c r="F242" s="66" t="s">
        <v>1543</v>
      </c>
      <c r="G242" s="66" t="s">
        <v>21</v>
      </c>
      <c r="H242" s="65">
        <v>200</v>
      </c>
      <c r="I242" s="66"/>
      <c r="J242" s="67" t="s">
        <v>1544</v>
      </c>
      <c r="K242" s="67">
        <v>3269</v>
      </c>
      <c r="L242" s="69" t="s">
        <v>22</v>
      </c>
      <c r="M242" s="67"/>
      <c r="N242" s="67"/>
      <c r="O242" s="67"/>
      <c r="P242" s="69" t="s">
        <v>21</v>
      </c>
    </row>
    <row r="243" s="59" customFormat="1" spans="1:16">
      <c r="A243" s="66" t="s">
        <v>1545</v>
      </c>
      <c r="B243" s="66" t="s">
        <v>17</v>
      </c>
      <c r="C243" s="66" t="s">
        <v>946</v>
      </c>
      <c r="D243" s="67" t="s">
        <v>18</v>
      </c>
      <c r="E243" s="66" t="s">
        <v>1546</v>
      </c>
      <c r="F243" s="66" t="s">
        <v>1547</v>
      </c>
      <c r="G243" s="66" t="s">
        <v>21</v>
      </c>
      <c r="H243" s="65">
        <v>300</v>
      </c>
      <c r="I243" s="66"/>
      <c r="J243" s="67" t="s">
        <v>1548</v>
      </c>
      <c r="K243" s="67">
        <v>11479.5</v>
      </c>
      <c r="L243" s="69" t="s">
        <v>31</v>
      </c>
      <c r="M243" s="69" t="s">
        <v>75</v>
      </c>
      <c r="N243" s="69" t="s">
        <v>23</v>
      </c>
      <c r="O243" s="69" t="s">
        <v>75</v>
      </c>
      <c r="P243" s="69" t="s">
        <v>21</v>
      </c>
    </row>
    <row r="244" s="59" customFormat="1" spans="1:16">
      <c r="A244" s="66" t="s">
        <v>1549</v>
      </c>
      <c r="B244" s="66" t="s">
        <v>17</v>
      </c>
      <c r="C244" s="66" t="s">
        <v>867</v>
      </c>
      <c r="D244" s="67" t="s">
        <v>18</v>
      </c>
      <c r="E244" s="66" t="s">
        <v>854</v>
      </c>
      <c r="F244" s="66" t="s">
        <v>855</v>
      </c>
      <c r="G244" s="66" t="s">
        <v>21</v>
      </c>
      <c r="H244" s="65">
        <v>200</v>
      </c>
      <c r="I244" s="66" t="s">
        <v>846</v>
      </c>
      <c r="J244" s="67" t="s">
        <v>856</v>
      </c>
      <c r="K244" s="67">
        <v>4553.96</v>
      </c>
      <c r="L244" s="69" t="s">
        <v>31</v>
      </c>
      <c r="M244" s="69" t="s">
        <v>1381</v>
      </c>
      <c r="N244" s="69" t="s">
        <v>23</v>
      </c>
      <c r="O244" s="69" t="s">
        <v>1381</v>
      </c>
      <c r="P244" s="69" t="s">
        <v>21</v>
      </c>
    </row>
    <row r="245" s="59" customFormat="1" spans="1:16">
      <c r="A245" s="66" t="s">
        <v>1550</v>
      </c>
      <c r="B245" s="66" t="s">
        <v>49</v>
      </c>
      <c r="C245" s="66" t="s">
        <v>946</v>
      </c>
      <c r="D245" s="67" t="s">
        <v>18</v>
      </c>
      <c r="E245" s="66" t="s">
        <v>1551</v>
      </c>
      <c r="F245" s="66" t="s">
        <v>1552</v>
      </c>
      <c r="G245" s="66" t="s">
        <v>21</v>
      </c>
      <c r="H245" s="65">
        <v>200</v>
      </c>
      <c r="I245" s="66"/>
      <c r="J245" s="67" t="s">
        <v>1553</v>
      </c>
      <c r="K245" s="67">
        <v>4998</v>
      </c>
      <c r="L245" s="69" t="s">
        <v>22</v>
      </c>
      <c r="M245" s="67"/>
      <c r="N245" s="67"/>
      <c r="O245" s="67"/>
      <c r="P245" s="69" t="s">
        <v>21</v>
      </c>
    </row>
    <row r="246" s="59" customFormat="1" spans="1:16">
      <c r="A246" s="66" t="s">
        <v>1554</v>
      </c>
      <c r="B246" s="66" t="s">
        <v>17</v>
      </c>
      <c r="C246" s="66" t="s">
        <v>946</v>
      </c>
      <c r="D246" s="67" t="s">
        <v>18</v>
      </c>
      <c r="E246" s="66" t="s">
        <v>1555</v>
      </c>
      <c r="F246" s="66" t="s">
        <v>1556</v>
      </c>
      <c r="G246" s="66" t="s">
        <v>21</v>
      </c>
      <c r="H246" s="65">
        <v>300</v>
      </c>
      <c r="I246" s="66"/>
      <c r="J246" s="67" t="s">
        <v>1557</v>
      </c>
      <c r="K246" s="67">
        <v>7197.6</v>
      </c>
      <c r="L246" s="69" t="s">
        <v>31</v>
      </c>
      <c r="M246" s="69" t="s">
        <v>52</v>
      </c>
      <c r="N246" s="69" t="s">
        <v>23</v>
      </c>
      <c r="O246" s="69" t="s">
        <v>52</v>
      </c>
      <c r="P246" s="69" t="s">
        <v>21</v>
      </c>
    </row>
    <row r="247" spans="1:16">
      <c r="A247" s="64" t="s">
        <v>1558</v>
      </c>
      <c r="B247" s="64" t="s">
        <v>17</v>
      </c>
      <c r="C247" s="64" t="s">
        <v>794</v>
      </c>
      <c r="D247" s="64" t="s">
        <v>28</v>
      </c>
      <c r="E247" s="64" t="s">
        <v>1559</v>
      </c>
      <c r="F247" s="64" t="s">
        <v>1560</v>
      </c>
      <c r="G247" s="64" t="s">
        <v>21</v>
      </c>
      <c r="H247" s="65">
        <v>30</v>
      </c>
      <c r="I247" s="66"/>
      <c r="J247" s="67" t="s">
        <v>1561</v>
      </c>
      <c r="K247" s="67">
        <v>631.11</v>
      </c>
      <c r="L247" s="68" t="s">
        <v>31</v>
      </c>
      <c r="M247" s="68" t="s">
        <v>32</v>
      </c>
      <c r="N247" s="68" t="s">
        <v>23</v>
      </c>
      <c r="O247" s="68" t="s">
        <v>32</v>
      </c>
      <c r="P247" s="68" t="s">
        <v>23</v>
      </c>
    </row>
    <row r="248" s="59" customFormat="1" spans="1:16">
      <c r="A248" s="66" t="s">
        <v>1562</v>
      </c>
      <c r="B248" s="66" t="s">
        <v>17</v>
      </c>
      <c r="C248" s="66" t="s">
        <v>803</v>
      </c>
      <c r="D248" s="67" t="s">
        <v>18</v>
      </c>
      <c r="E248" s="66" t="s">
        <v>1559</v>
      </c>
      <c r="F248" s="66" t="s">
        <v>1560</v>
      </c>
      <c r="G248" s="66" t="s">
        <v>21</v>
      </c>
      <c r="H248" s="65">
        <v>350</v>
      </c>
      <c r="I248" s="66"/>
      <c r="J248" s="67" t="s">
        <v>1561</v>
      </c>
      <c r="K248" s="67">
        <v>7362.95</v>
      </c>
      <c r="L248" s="69" t="s">
        <v>31</v>
      </c>
      <c r="M248" s="69" t="s">
        <v>52</v>
      </c>
      <c r="N248" s="69" t="s">
        <v>23</v>
      </c>
      <c r="O248" s="69" t="s">
        <v>52</v>
      </c>
      <c r="P248" s="69" t="s">
        <v>21</v>
      </c>
    </row>
    <row r="249" s="59" customFormat="1" spans="1:16">
      <c r="A249" s="66" t="s">
        <v>1563</v>
      </c>
      <c r="B249" s="66" t="s">
        <v>17</v>
      </c>
      <c r="C249" s="66" t="s">
        <v>858</v>
      </c>
      <c r="D249" s="67" t="s">
        <v>18</v>
      </c>
      <c r="E249" s="66" t="s">
        <v>1564</v>
      </c>
      <c r="F249" s="66" t="s">
        <v>1565</v>
      </c>
      <c r="G249" s="66" t="s">
        <v>21</v>
      </c>
      <c r="H249" s="65">
        <v>200</v>
      </c>
      <c r="I249" s="66"/>
      <c r="J249" s="67" t="s">
        <v>1566</v>
      </c>
      <c r="K249" s="67">
        <v>3654</v>
      </c>
      <c r="L249" s="69" t="s">
        <v>31</v>
      </c>
      <c r="M249" s="69" t="s">
        <v>52</v>
      </c>
      <c r="N249" s="69" t="s">
        <v>23</v>
      </c>
      <c r="O249" s="67" t="s">
        <v>52</v>
      </c>
      <c r="P249" s="69" t="s">
        <v>21</v>
      </c>
    </row>
    <row r="250" s="59" customFormat="1" spans="1:16">
      <c r="A250" s="66" t="s">
        <v>1567</v>
      </c>
      <c r="B250" s="66" t="s">
        <v>17</v>
      </c>
      <c r="C250" s="66" t="s">
        <v>858</v>
      </c>
      <c r="D250" s="67" t="s">
        <v>18</v>
      </c>
      <c r="E250" s="66" t="s">
        <v>1568</v>
      </c>
      <c r="F250" s="66" t="s">
        <v>1569</v>
      </c>
      <c r="G250" s="66" t="s">
        <v>21</v>
      </c>
      <c r="H250" s="65">
        <v>150</v>
      </c>
      <c r="I250" s="66"/>
      <c r="J250" s="67" t="s">
        <v>1570</v>
      </c>
      <c r="K250" s="67">
        <v>6025.5</v>
      </c>
      <c r="L250" s="69" t="s">
        <v>31</v>
      </c>
      <c r="M250" s="69" t="s">
        <v>52</v>
      </c>
      <c r="N250" s="69" t="s">
        <v>23</v>
      </c>
      <c r="O250" s="67" t="s">
        <v>52</v>
      </c>
      <c r="P250" s="69" t="s">
        <v>21</v>
      </c>
    </row>
    <row r="251" s="59" customFormat="1" spans="1:16">
      <c r="A251" s="66" t="s">
        <v>1571</v>
      </c>
      <c r="B251" s="66" t="s">
        <v>17</v>
      </c>
      <c r="C251" s="66" t="s">
        <v>858</v>
      </c>
      <c r="D251" s="67" t="s">
        <v>18</v>
      </c>
      <c r="E251" s="66" t="s">
        <v>1572</v>
      </c>
      <c r="F251" s="66" t="s">
        <v>1573</v>
      </c>
      <c r="G251" s="66" t="s">
        <v>21</v>
      </c>
      <c r="H251" s="65">
        <v>100</v>
      </c>
      <c r="I251" s="66"/>
      <c r="J251" s="67" t="s">
        <v>1574</v>
      </c>
      <c r="K251" s="67">
        <v>5317</v>
      </c>
      <c r="L251" s="69" t="s">
        <v>31</v>
      </c>
      <c r="M251" s="69" t="s">
        <v>52</v>
      </c>
      <c r="N251" s="69" t="s">
        <v>23</v>
      </c>
      <c r="O251" s="67" t="s">
        <v>52</v>
      </c>
      <c r="P251" s="69" t="s">
        <v>21</v>
      </c>
    </row>
    <row r="252" s="59" customFormat="1" spans="1:16">
      <c r="A252" s="66" t="s">
        <v>1575</v>
      </c>
      <c r="B252" s="66" t="s">
        <v>17</v>
      </c>
      <c r="C252" s="66" t="s">
        <v>946</v>
      </c>
      <c r="D252" s="67" t="s">
        <v>18</v>
      </c>
      <c r="E252" s="66" t="s">
        <v>1450</v>
      </c>
      <c r="F252" s="66" t="s">
        <v>1451</v>
      </c>
      <c r="G252" s="66" t="s">
        <v>21</v>
      </c>
      <c r="H252" s="65">
        <v>300</v>
      </c>
      <c r="I252" s="70" t="s">
        <v>1014</v>
      </c>
      <c r="J252" s="67" t="s">
        <v>1452</v>
      </c>
      <c r="K252" s="67">
        <v>3814.8</v>
      </c>
      <c r="L252" s="70" t="s">
        <v>31</v>
      </c>
      <c r="M252" s="70" t="s">
        <v>52</v>
      </c>
      <c r="N252" s="70" t="s">
        <v>23</v>
      </c>
      <c r="O252" s="70" t="s">
        <v>52</v>
      </c>
      <c r="P252" s="71" t="s">
        <v>23</v>
      </c>
    </row>
    <row r="253" spans="1:16">
      <c r="A253" s="64" t="s">
        <v>1576</v>
      </c>
      <c r="B253" s="64" t="s">
        <v>17</v>
      </c>
      <c r="C253" s="64" t="s">
        <v>794</v>
      </c>
      <c r="D253" s="64" t="s">
        <v>28</v>
      </c>
      <c r="E253" s="64" t="s">
        <v>261</v>
      </c>
      <c r="F253" s="64" t="s">
        <v>262</v>
      </c>
      <c r="G253" s="64" t="s">
        <v>23</v>
      </c>
      <c r="H253" s="65">
        <v>400</v>
      </c>
      <c r="I253" s="66"/>
      <c r="J253" s="67" t="s">
        <v>962</v>
      </c>
      <c r="K253" s="67">
        <v>2600</v>
      </c>
      <c r="L253" s="68" t="s">
        <v>31</v>
      </c>
      <c r="M253" s="68" t="s">
        <v>32</v>
      </c>
      <c r="N253" s="68" t="s">
        <v>23</v>
      </c>
      <c r="O253" s="68" t="s">
        <v>32</v>
      </c>
      <c r="P253" s="68" t="s">
        <v>23</v>
      </c>
    </row>
    <row r="254" spans="1:16">
      <c r="A254" s="64" t="s">
        <v>1577</v>
      </c>
      <c r="B254" s="64" t="s">
        <v>17</v>
      </c>
      <c r="C254" s="64" t="s">
        <v>794</v>
      </c>
      <c r="D254" s="64" t="s">
        <v>28</v>
      </c>
      <c r="E254" s="64" t="s">
        <v>1578</v>
      </c>
      <c r="F254" s="64" t="s">
        <v>1579</v>
      </c>
      <c r="G254" s="64" t="s">
        <v>21</v>
      </c>
      <c r="H254" s="65">
        <v>30</v>
      </c>
      <c r="I254" s="66"/>
      <c r="J254" s="67" t="s">
        <v>1580</v>
      </c>
      <c r="K254" s="67">
        <v>680.013</v>
      </c>
      <c r="L254" s="68" t="s">
        <v>31</v>
      </c>
      <c r="M254" s="68" t="s">
        <v>32</v>
      </c>
      <c r="N254" s="68" t="s">
        <v>23</v>
      </c>
      <c r="O254" s="68" t="s">
        <v>32</v>
      </c>
      <c r="P254" s="68" t="s">
        <v>23</v>
      </c>
    </row>
    <row r="255" s="59" customFormat="1" spans="1:16">
      <c r="A255" s="66" t="s">
        <v>1581</v>
      </c>
      <c r="B255" s="66" t="s">
        <v>17</v>
      </c>
      <c r="C255" s="66" t="s">
        <v>812</v>
      </c>
      <c r="D255" s="67" t="s">
        <v>18</v>
      </c>
      <c r="E255" s="66" t="s">
        <v>1582</v>
      </c>
      <c r="F255" s="66" t="s">
        <v>1583</v>
      </c>
      <c r="G255" s="66" t="s">
        <v>21</v>
      </c>
      <c r="H255" s="65">
        <v>250</v>
      </c>
      <c r="I255" s="66"/>
      <c r="J255" s="67" t="s">
        <v>1584</v>
      </c>
      <c r="K255" s="67">
        <v>3886.25</v>
      </c>
      <c r="L255" s="69" t="s">
        <v>31</v>
      </c>
      <c r="M255" s="69" t="s">
        <v>75</v>
      </c>
      <c r="N255" s="69" t="s">
        <v>23</v>
      </c>
      <c r="O255" s="69" t="s">
        <v>75</v>
      </c>
      <c r="P255" s="69" t="s">
        <v>21</v>
      </c>
    </row>
    <row r="256" spans="1:16">
      <c r="A256" s="64" t="s">
        <v>1585</v>
      </c>
      <c r="B256" s="64" t="s">
        <v>17</v>
      </c>
      <c r="C256" s="64" t="s">
        <v>794</v>
      </c>
      <c r="D256" s="64" t="s">
        <v>28</v>
      </c>
      <c r="E256" s="64" t="s">
        <v>1586</v>
      </c>
      <c r="F256" s="64" t="s">
        <v>1587</v>
      </c>
      <c r="G256" s="64" t="s">
        <v>21</v>
      </c>
      <c r="H256" s="65">
        <v>30</v>
      </c>
      <c r="I256" s="66"/>
      <c r="J256" s="67" t="s">
        <v>1588</v>
      </c>
      <c r="K256" s="67">
        <v>650.76</v>
      </c>
      <c r="L256" s="68" t="s">
        <v>31</v>
      </c>
      <c r="M256" s="68" t="s">
        <v>32</v>
      </c>
      <c r="N256" s="68" t="s">
        <v>23</v>
      </c>
      <c r="O256" s="68" t="s">
        <v>32</v>
      </c>
      <c r="P256" s="68" t="s">
        <v>23</v>
      </c>
    </row>
    <row r="257" spans="1:16">
      <c r="A257" s="64" t="s">
        <v>1589</v>
      </c>
      <c r="B257" s="64" t="s">
        <v>17</v>
      </c>
      <c r="C257" s="64" t="s">
        <v>862</v>
      </c>
      <c r="D257" s="68" t="s">
        <v>238</v>
      </c>
      <c r="E257" s="64" t="s">
        <v>1304</v>
      </c>
      <c r="F257" s="64" t="s">
        <v>1305</v>
      </c>
      <c r="G257" s="64" t="s">
        <v>23</v>
      </c>
      <c r="H257" s="65">
        <v>5000</v>
      </c>
      <c r="I257" s="66"/>
      <c r="J257" s="67" t="s">
        <v>1306</v>
      </c>
      <c r="K257" s="67">
        <v>3000</v>
      </c>
      <c r="L257" s="68" t="s">
        <v>31</v>
      </c>
      <c r="M257" s="68" t="s">
        <v>241</v>
      </c>
      <c r="N257" s="68" t="s">
        <v>23</v>
      </c>
      <c r="O257" s="68" t="s">
        <v>241</v>
      </c>
      <c r="P257" s="68" t="s">
        <v>23</v>
      </c>
    </row>
    <row r="258" s="59" customFormat="1" spans="1:16">
      <c r="A258" s="66" t="s">
        <v>1590</v>
      </c>
      <c r="B258" s="66" t="s">
        <v>17</v>
      </c>
      <c r="C258" s="66" t="s">
        <v>812</v>
      </c>
      <c r="D258" s="67" t="s">
        <v>18</v>
      </c>
      <c r="E258" s="66" t="s">
        <v>828</v>
      </c>
      <c r="F258" s="66" t="s">
        <v>829</v>
      </c>
      <c r="G258" s="66" t="s">
        <v>21</v>
      </c>
      <c r="H258" s="65">
        <v>216</v>
      </c>
      <c r="I258" s="66"/>
      <c r="J258" s="67" t="s">
        <v>830</v>
      </c>
      <c r="K258" s="67">
        <v>1716.12</v>
      </c>
      <c r="L258" s="69" t="s">
        <v>22</v>
      </c>
      <c r="M258" s="67"/>
      <c r="N258" s="67"/>
      <c r="O258" s="67"/>
      <c r="P258" s="69" t="s">
        <v>21</v>
      </c>
    </row>
    <row r="259" spans="1:16">
      <c r="A259" s="64" t="s">
        <v>1591</v>
      </c>
      <c r="B259" s="64" t="s">
        <v>17</v>
      </c>
      <c r="C259" s="64" t="s">
        <v>794</v>
      </c>
      <c r="D259" s="64" t="s">
        <v>28</v>
      </c>
      <c r="E259" s="64" t="s">
        <v>1592</v>
      </c>
      <c r="F259" s="64" t="s">
        <v>1593</v>
      </c>
      <c r="G259" s="64" t="s">
        <v>21</v>
      </c>
      <c r="H259" s="65">
        <v>50</v>
      </c>
      <c r="I259" s="66"/>
      <c r="J259" s="67" t="s">
        <v>1594</v>
      </c>
      <c r="K259" s="67">
        <v>1392</v>
      </c>
      <c r="L259" s="68" t="s">
        <v>31</v>
      </c>
      <c r="M259" s="68" t="s">
        <v>32</v>
      </c>
      <c r="N259" s="68" t="s">
        <v>23</v>
      </c>
      <c r="O259" s="68" t="s">
        <v>32</v>
      </c>
      <c r="P259" s="68" t="s">
        <v>23</v>
      </c>
    </row>
    <row r="260" s="59" customFormat="1" spans="1:16">
      <c r="A260" s="66" t="s">
        <v>1595</v>
      </c>
      <c r="B260" s="66" t="s">
        <v>49</v>
      </c>
      <c r="C260" s="66" t="s">
        <v>812</v>
      </c>
      <c r="D260" s="67" t="s">
        <v>18</v>
      </c>
      <c r="E260" s="66" t="s">
        <v>1592</v>
      </c>
      <c r="F260" s="66" t="s">
        <v>1593</v>
      </c>
      <c r="G260" s="66" t="s">
        <v>21</v>
      </c>
      <c r="H260" s="65">
        <v>200</v>
      </c>
      <c r="I260" s="66"/>
      <c r="J260" s="67" t="s">
        <v>1594</v>
      </c>
      <c r="K260" s="67">
        <v>5568</v>
      </c>
      <c r="L260" s="69" t="s">
        <v>31</v>
      </c>
      <c r="M260" s="69" t="s">
        <v>75</v>
      </c>
      <c r="N260" s="69" t="s">
        <v>23</v>
      </c>
      <c r="O260" s="69" t="s">
        <v>75</v>
      </c>
      <c r="P260" s="69" t="s">
        <v>21</v>
      </c>
    </row>
    <row r="261" s="59" customFormat="1" spans="1:16">
      <c r="A261" s="66" t="s">
        <v>1596</v>
      </c>
      <c r="B261" s="66" t="s">
        <v>17</v>
      </c>
      <c r="C261" s="66" t="s">
        <v>946</v>
      </c>
      <c r="D261" s="67" t="s">
        <v>18</v>
      </c>
      <c r="E261" s="66" t="s">
        <v>942</v>
      </c>
      <c r="F261" s="66" t="s">
        <v>943</v>
      </c>
      <c r="G261" s="66" t="s">
        <v>21</v>
      </c>
      <c r="H261" s="65">
        <v>500</v>
      </c>
      <c r="I261" s="66"/>
      <c r="J261" s="67" t="s">
        <v>944</v>
      </c>
      <c r="K261" s="67">
        <v>8396</v>
      </c>
      <c r="L261" s="69" t="s">
        <v>31</v>
      </c>
      <c r="M261" s="69" t="s">
        <v>52</v>
      </c>
      <c r="N261" s="69" t="s">
        <v>23</v>
      </c>
      <c r="O261" s="69" t="s">
        <v>52</v>
      </c>
      <c r="P261" s="69" t="s">
        <v>23</v>
      </c>
    </row>
    <row r="262" s="59" customFormat="1" spans="1:16">
      <c r="A262" s="66" t="s">
        <v>1596</v>
      </c>
      <c r="B262" s="66" t="s">
        <v>17</v>
      </c>
      <c r="C262" s="66" t="s">
        <v>946</v>
      </c>
      <c r="D262" s="67" t="s">
        <v>18</v>
      </c>
      <c r="E262" s="66" t="s">
        <v>942</v>
      </c>
      <c r="F262" s="66" t="s">
        <v>943</v>
      </c>
      <c r="G262" s="66" t="s">
        <v>21</v>
      </c>
      <c r="H262" s="65">
        <v>301</v>
      </c>
      <c r="I262" s="66"/>
      <c r="J262" s="67" t="s">
        <v>944</v>
      </c>
      <c r="K262" s="67">
        <v>5054.392</v>
      </c>
      <c r="L262" s="69" t="s">
        <v>31</v>
      </c>
      <c r="M262" s="69" t="s">
        <v>52</v>
      </c>
      <c r="N262" s="69" t="s">
        <v>23</v>
      </c>
      <c r="O262" s="69" t="s">
        <v>52</v>
      </c>
      <c r="P262" s="69" t="s">
        <v>21</v>
      </c>
    </row>
    <row r="263" s="59" customFormat="1" spans="1:16">
      <c r="A263" s="66" t="s">
        <v>1597</v>
      </c>
      <c r="B263" s="66" t="s">
        <v>17</v>
      </c>
      <c r="C263" s="66" t="s">
        <v>946</v>
      </c>
      <c r="D263" s="67" t="s">
        <v>18</v>
      </c>
      <c r="E263" s="66" t="s">
        <v>1276</v>
      </c>
      <c r="F263" s="66" t="s">
        <v>1277</v>
      </c>
      <c r="G263" s="66" t="s">
        <v>23</v>
      </c>
      <c r="H263" s="65">
        <v>500</v>
      </c>
      <c r="I263" s="66"/>
      <c r="J263" s="67" t="s">
        <v>1278</v>
      </c>
      <c r="K263" s="67">
        <v>4400</v>
      </c>
      <c r="L263" s="69" t="s">
        <v>22</v>
      </c>
      <c r="M263" s="67"/>
      <c r="N263" s="67"/>
      <c r="O263" s="67"/>
      <c r="P263" s="69" t="s">
        <v>21</v>
      </c>
    </row>
    <row r="264" s="59" customFormat="1" spans="1:16">
      <c r="A264" s="66" t="s">
        <v>1598</v>
      </c>
      <c r="B264" s="66" t="s">
        <v>17</v>
      </c>
      <c r="C264" s="66" t="s">
        <v>867</v>
      </c>
      <c r="D264" s="67" t="s">
        <v>18</v>
      </c>
      <c r="E264" s="66" t="s">
        <v>1586</v>
      </c>
      <c r="F264" s="66" t="s">
        <v>1587</v>
      </c>
      <c r="G264" s="66" t="s">
        <v>21</v>
      </c>
      <c r="H264" s="65">
        <v>400</v>
      </c>
      <c r="I264" s="66"/>
      <c r="J264" s="67" t="s">
        <v>1588</v>
      </c>
      <c r="K264" s="67">
        <v>8676.8</v>
      </c>
      <c r="L264" s="69" t="s">
        <v>31</v>
      </c>
      <c r="M264" s="69" t="s">
        <v>52</v>
      </c>
      <c r="N264" s="69" t="s">
        <v>23</v>
      </c>
      <c r="O264" s="69" t="s">
        <v>52</v>
      </c>
      <c r="P264" s="69" t="s">
        <v>21</v>
      </c>
    </row>
    <row r="265" s="59" customFormat="1" spans="1:16">
      <c r="A265" s="66" t="s">
        <v>1599</v>
      </c>
      <c r="B265" s="66" t="s">
        <v>17</v>
      </c>
      <c r="C265" s="66" t="s">
        <v>812</v>
      </c>
      <c r="D265" s="67" t="s">
        <v>18</v>
      </c>
      <c r="E265" s="66" t="s">
        <v>1600</v>
      </c>
      <c r="F265" s="66" t="s">
        <v>1601</v>
      </c>
      <c r="G265" s="66" t="s">
        <v>21</v>
      </c>
      <c r="H265" s="65">
        <v>300</v>
      </c>
      <c r="I265" s="69" t="s">
        <v>804</v>
      </c>
      <c r="J265" s="67" t="s">
        <v>1602</v>
      </c>
      <c r="K265" s="67">
        <v>6717.6</v>
      </c>
      <c r="L265" s="69" t="s">
        <v>31</v>
      </c>
      <c r="M265" s="69" t="s">
        <v>52</v>
      </c>
      <c r="N265" s="69" t="s">
        <v>23</v>
      </c>
      <c r="O265" s="69" t="s">
        <v>52</v>
      </c>
      <c r="P265" s="69" t="s">
        <v>21</v>
      </c>
    </row>
    <row r="266" s="59" customFormat="1" spans="1:16">
      <c r="A266" s="66" t="s">
        <v>1603</v>
      </c>
      <c r="B266" s="66" t="s">
        <v>17</v>
      </c>
      <c r="C266" s="66" t="s">
        <v>906</v>
      </c>
      <c r="D266" s="67" t="s">
        <v>18</v>
      </c>
      <c r="E266" s="66" t="s">
        <v>1604</v>
      </c>
      <c r="F266" s="66" t="s">
        <v>1605</v>
      </c>
      <c r="G266" s="66" t="s">
        <v>21</v>
      </c>
      <c r="H266" s="65">
        <v>200</v>
      </c>
      <c r="I266" s="66"/>
      <c r="J266" s="67" t="s">
        <v>1606</v>
      </c>
      <c r="K266" s="67">
        <v>3852</v>
      </c>
      <c r="L266" s="69" t="s">
        <v>22</v>
      </c>
      <c r="M266" s="67"/>
      <c r="N266" s="67"/>
      <c r="O266" s="67"/>
      <c r="P266" s="69" t="s">
        <v>21</v>
      </c>
    </row>
    <row r="267" s="59" customFormat="1" spans="1:16">
      <c r="A267" s="66" t="s">
        <v>1607</v>
      </c>
      <c r="B267" s="66" t="s">
        <v>17</v>
      </c>
      <c r="C267" s="66" t="s">
        <v>906</v>
      </c>
      <c r="D267" s="67" t="s">
        <v>18</v>
      </c>
      <c r="E267" s="66" t="s">
        <v>1608</v>
      </c>
      <c r="F267" s="66" t="s">
        <v>1609</v>
      </c>
      <c r="G267" s="66" t="s">
        <v>21</v>
      </c>
      <c r="H267" s="65">
        <v>350</v>
      </c>
      <c r="I267" s="66" t="s">
        <v>1014</v>
      </c>
      <c r="J267" s="67" t="s">
        <v>1481</v>
      </c>
      <c r="K267" s="67">
        <v>8292.2</v>
      </c>
      <c r="L267" s="67" t="s">
        <v>31</v>
      </c>
      <c r="M267" s="67" t="s">
        <v>52</v>
      </c>
      <c r="N267" s="67" t="s">
        <v>23</v>
      </c>
      <c r="O267" s="67" t="s">
        <v>52</v>
      </c>
      <c r="P267" s="67" t="s">
        <v>21</v>
      </c>
    </row>
    <row r="268" s="59" customFormat="1" spans="1:16">
      <c r="A268" s="66" t="s">
        <v>1610</v>
      </c>
      <c r="B268" s="66" t="s">
        <v>17</v>
      </c>
      <c r="C268" s="66" t="s">
        <v>906</v>
      </c>
      <c r="D268" s="67" t="s">
        <v>18</v>
      </c>
      <c r="E268" s="66" t="s">
        <v>1611</v>
      </c>
      <c r="F268" s="66" t="s">
        <v>1612</v>
      </c>
      <c r="G268" s="66" t="s">
        <v>23</v>
      </c>
      <c r="H268" s="65">
        <v>400</v>
      </c>
      <c r="I268" s="66" t="s">
        <v>846</v>
      </c>
      <c r="J268" s="67" t="s">
        <v>1613</v>
      </c>
      <c r="K268" s="67">
        <v>13440</v>
      </c>
      <c r="L268" s="69" t="s">
        <v>22</v>
      </c>
      <c r="M268" s="67"/>
      <c r="N268" s="67"/>
      <c r="O268" s="67"/>
      <c r="P268" s="69" t="s">
        <v>21</v>
      </c>
    </row>
    <row r="269" spans="1:16">
      <c r="A269" s="64" t="s">
        <v>1614</v>
      </c>
      <c r="B269" s="64" t="s">
        <v>17</v>
      </c>
      <c r="C269" s="64" t="s">
        <v>794</v>
      </c>
      <c r="D269" s="64" t="s">
        <v>28</v>
      </c>
      <c r="E269" s="64" t="s">
        <v>1611</v>
      </c>
      <c r="F269" s="64" t="s">
        <v>1612</v>
      </c>
      <c r="G269" s="64" t="s">
        <v>23</v>
      </c>
      <c r="H269" s="65">
        <v>50</v>
      </c>
      <c r="I269" s="66" t="s">
        <v>846</v>
      </c>
      <c r="J269" s="67" t="s">
        <v>1613</v>
      </c>
      <c r="K269" s="67">
        <v>1680</v>
      </c>
      <c r="L269" s="68" t="s">
        <v>31</v>
      </c>
      <c r="M269" s="68" t="s">
        <v>32</v>
      </c>
      <c r="N269" s="68" t="s">
        <v>23</v>
      </c>
      <c r="O269" s="68" t="s">
        <v>32</v>
      </c>
      <c r="P269" s="68" t="s">
        <v>23</v>
      </c>
    </row>
    <row r="270" s="59" customFormat="1" spans="1:16">
      <c r="A270" s="66" t="s">
        <v>1615</v>
      </c>
      <c r="B270" s="66" t="s">
        <v>17</v>
      </c>
      <c r="C270" s="66" t="s">
        <v>858</v>
      </c>
      <c r="D270" s="67" t="s">
        <v>18</v>
      </c>
      <c r="E270" s="66" t="s">
        <v>1616</v>
      </c>
      <c r="F270" s="66" t="s">
        <v>1617</v>
      </c>
      <c r="G270" s="66" t="s">
        <v>21</v>
      </c>
      <c r="H270" s="65">
        <v>200</v>
      </c>
      <c r="I270" s="69" t="s">
        <v>804</v>
      </c>
      <c r="J270" s="67" t="s">
        <v>1618</v>
      </c>
      <c r="K270" s="67">
        <v>2212</v>
      </c>
      <c r="L270" s="69" t="s">
        <v>22</v>
      </c>
      <c r="M270" s="67"/>
      <c r="N270" s="67"/>
      <c r="O270" s="67"/>
      <c r="P270" s="69" t="s">
        <v>21</v>
      </c>
    </row>
    <row r="271" s="59" customFormat="1" spans="1:16">
      <c r="A271" s="66" t="s">
        <v>1619</v>
      </c>
      <c r="B271" s="66" t="s">
        <v>17</v>
      </c>
      <c r="C271" s="66" t="s">
        <v>906</v>
      </c>
      <c r="D271" s="67" t="s">
        <v>18</v>
      </c>
      <c r="E271" s="66" t="s">
        <v>1620</v>
      </c>
      <c r="F271" s="66" t="s">
        <v>1621</v>
      </c>
      <c r="G271" s="66" t="s">
        <v>21</v>
      </c>
      <c r="H271" s="65">
        <v>300</v>
      </c>
      <c r="I271" s="66"/>
      <c r="J271" s="67" t="s">
        <v>884</v>
      </c>
      <c r="K271" s="67">
        <v>5238</v>
      </c>
      <c r="L271" s="69" t="s">
        <v>22</v>
      </c>
      <c r="M271" s="67"/>
      <c r="N271" s="67"/>
      <c r="O271" s="67"/>
      <c r="P271" s="69" t="s">
        <v>21</v>
      </c>
    </row>
    <row r="272" s="59" customFormat="1" spans="1:16">
      <c r="A272" s="66" t="s">
        <v>1622</v>
      </c>
      <c r="B272" s="66" t="s">
        <v>17</v>
      </c>
      <c r="C272" s="66" t="s">
        <v>906</v>
      </c>
      <c r="D272" s="67" t="s">
        <v>18</v>
      </c>
      <c r="E272" s="66" t="s">
        <v>907</v>
      </c>
      <c r="F272" s="66" t="s">
        <v>908</v>
      </c>
      <c r="G272" s="66" t="s">
        <v>21</v>
      </c>
      <c r="H272" s="65">
        <v>300</v>
      </c>
      <c r="I272" s="66"/>
      <c r="J272" s="67" t="s">
        <v>909</v>
      </c>
      <c r="K272" s="67">
        <v>5688</v>
      </c>
      <c r="L272" s="69" t="s">
        <v>22</v>
      </c>
      <c r="M272" s="67"/>
      <c r="N272" s="67"/>
      <c r="O272" s="67"/>
      <c r="P272" s="69" t="s">
        <v>21</v>
      </c>
    </row>
    <row r="273" s="59" customFormat="1" spans="1:16">
      <c r="A273" s="66" t="s">
        <v>1623</v>
      </c>
      <c r="B273" s="66" t="s">
        <v>17</v>
      </c>
      <c r="C273" s="66" t="s">
        <v>904</v>
      </c>
      <c r="D273" s="67" t="s">
        <v>18</v>
      </c>
      <c r="E273" s="66" t="s">
        <v>1624</v>
      </c>
      <c r="F273" s="66" t="s">
        <v>1625</v>
      </c>
      <c r="G273" s="66" t="s">
        <v>21</v>
      </c>
      <c r="H273" s="65">
        <v>300</v>
      </c>
      <c r="I273" s="66"/>
      <c r="J273" s="67" t="s">
        <v>1241</v>
      </c>
      <c r="K273" s="67">
        <v>6597.6</v>
      </c>
      <c r="L273" s="69" t="s">
        <v>31</v>
      </c>
      <c r="M273" s="69" t="s">
        <v>52</v>
      </c>
      <c r="N273" s="69" t="s">
        <v>23</v>
      </c>
      <c r="O273" s="69" t="s">
        <v>52</v>
      </c>
      <c r="P273" s="69" t="s">
        <v>21</v>
      </c>
    </row>
    <row r="274" s="59" customFormat="1" spans="1:16">
      <c r="A274" s="66" t="s">
        <v>1626</v>
      </c>
      <c r="B274" s="66" t="s">
        <v>17</v>
      </c>
      <c r="C274" s="66" t="s">
        <v>812</v>
      </c>
      <c r="D274" s="67" t="s">
        <v>18</v>
      </c>
      <c r="E274" s="66" t="s">
        <v>1578</v>
      </c>
      <c r="F274" s="66" t="s">
        <v>1579</v>
      </c>
      <c r="G274" s="66" t="s">
        <v>21</v>
      </c>
      <c r="H274" s="65">
        <v>400</v>
      </c>
      <c r="I274" s="66"/>
      <c r="J274" s="67" t="s">
        <v>1580</v>
      </c>
      <c r="K274" s="67">
        <v>9066.84</v>
      </c>
      <c r="L274" s="69" t="s">
        <v>31</v>
      </c>
      <c r="M274" s="69" t="s">
        <v>52</v>
      </c>
      <c r="N274" s="69" t="s">
        <v>23</v>
      </c>
      <c r="O274" s="69" t="s">
        <v>52</v>
      </c>
      <c r="P274" s="69" t="s">
        <v>21</v>
      </c>
    </row>
    <row r="275" spans="1:16">
      <c r="A275" s="64" t="s">
        <v>1627</v>
      </c>
      <c r="B275" s="64" t="s">
        <v>17</v>
      </c>
      <c r="C275" s="64" t="s">
        <v>794</v>
      </c>
      <c r="D275" s="64" t="s">
        <v>28</v>
      </c>
      <c r="E275" s="64" t="s">
        <v>1624</v>
      </c>
      <c r="F275" s="64" t="s">
        <v>1625</v>
      </c>
      <c r="G275" s="64" t="s">
        <v>21</v>
      </c>
      <c r="H275" s="65">
        <v>30</v>
      </c>
      <c r="I275" s="66"/>
      <c r="J275" s="67" t="s">
        <v>1241</v>
      </c>
      <c r="K275" s="67">
        <v>659.76</v>
      </c>
      <c r="L275" s="68" t="s">
        <v>31</v>
      </c>
      <c r="M275" s="68" t="s">
        <v>32</v>
      </c>
      <c r="N275" s="68" t="s">
        <v>23</v>
      </c>
      <c r="O275" s="68" t="s">
        <v>32</v>
      </c>
      <c r="P275" s="68" t="s">
        <v>23</v>
      </c>
    </row>
    <row r="276" s="59" customFormat="1" spans="1:16">
      <c r="A276" s="66" t="s">
        <v>1628</v>
      </c>
      <c r="B276" s="66" t="s">
        <v>17</v>
      </c>
      <c r="C276" s="66" t="s">
        <v>906</v>
      </c>
      <c r="D276" s="67" t="s">
        <v>18</v>
      </c>
      <c r="E276" s="66" t="s">
        <v>1629</v>
      </c>
      <c r="F276" s="66" t="s">
        <v>1630</v>
      </c>
      <c r="G276" s="66" t="s">
        <v>21</v>
      </c>
      <c r="H276" s="65">
        <v>500</v>
      </c>
      <c r="I276" s="66"/>
      <c r="J276" s="67" t="s">
        <v>1631</v>
      </c>
      <c r="K276" s="67">
        <v>11746</v>
      </c>
      <c r="L276" s="69" t="s">
        <v>31</v>
      </c>
      <c r="M276" s="69" t="s">
        <v>52</v>
      </c>
      <c r="N276" s="69" t="s">
        <v>23</v>
      </c>
      <c r="O276" s="69" t="s">
        <v>52</v>
      </c>
      <c r="P276" s="69" t="s">
        <v>21</v>
      </c>
    </row>
    <row r="277" spans="1:16">
      <c r="A277" s="64" t="s">
        <v>1632</v>
      </c>
      <c r="B277" s="64" t="s">
        <v>17</v>
      </c>
      <c r="C277" s="64" t="s">
        <v>794</v>
      </c>
      <c r="D277" s="64" t="s">
        <v>28</v>
      </c>
      <c r="E277" s="64" t="s">
        <v>1629</v>
      </c>
      <c r="F277" s="64" t="s">
        <v>1630</v>
      </c>
      <c r="G277" s="64" t="s">
        <v>21</v>
      </c>
      <c r="H277" s="65">
        <v>30</v>
      </c>
      <c r="I277" s="66"/>
      <c r="J277" s="67" t="s">
        <v>1631</v>
      </c>
      <c r="K277" s="67">
        <v>704.76</v>
      </c>
      <c r="L277" s="68" t="s">
        <v>31</v>
      </c>
      <c r="M277" s="68" t="s">
        <v>32</v>
      </c>
      <c r="N277" s="68" t="s">
        <v>23</v>
      </c>
      <c r="O277" s="68" t="s">
        <v>32</v>
      </c>
      <c r="P277" s="68" t="s">
        <v>23</v>
      </c>
    </row>
    <row r="278" s="59" customFormat="1" spans="1:16">
      <c r="A278" s="66" t="s">
        <v>1633</v>
      </c>
      <c r="B278" s="66" t="s">
        <v>17</v>
      </c>
      <c r="C278" s="66" t="s">
        <v>803</v>
      </c>
      <c r="D278" s="67" t="s">
        <v>18</v>
      </c>
      <c r="E278" s="66" t="s">
        <v>1634</v>
      </c>
      <c r="F278" s="66" t="s">
        <v>1635</v>
      </c>
      <c r="G278" s="66" t="s">
        <v>21</v>
      </c>
      <c r="H278" s="65">
        <v>1020</v>
      </c>
      <c r="I278" s="66"/>
      <c r="J278" s="67" t="s">
        <v>1636</v>
      </c>
      <c r="K278" s="67">
        <v>16506.966</v>
      </c>
      <c r="L278" s="67" t="s">
        <v>31</v>
      </c>
      <c r="M278" s="67" t="s">
        <v>75</v>
      </c>
      <c r="N278" s="67" t="s">
        <v>23</v>
      </c>
      <c r="O278" s="67" t="s">
        <v>75</v>
      </c>
      <c r="P278" s="67" t="s">
        <v>21</v>
      </c>
    </row>
    <row r="279" s="59" customFormat="1" spans="1:16">
      <c r="A279" s="66" t="s">
        <v>1637</v>
      </c>
      <c r="B279" s="66" t="s">
        <v>17</v>
      </c>
      <c r="C279" s="66" t="s">
        <v>858</v>
      </c>
      <c r="D279" s="67" t="s">
        <v>18</v>
      </c>
      <c r="E279" s="66" t="s">
        <v>1638</v>
      </c>
      <c r="F279" s="66" t="s">
        <v>1639</v>
      </c>
      <c r="G279" s="66" t="s">
        <v>21</v>
      </c>
      <c r="H279" s="65">
        <v>100</v>
      </c>
      <c r="I279" s="66" t="s">
        <v>1640</v>
      </c>
      <c r="J279" s="67" t="s">
        <v>1641</v>
      </c>
      <c r="K279" s="67">
        <v>3415.6</v>
      </c>
      <c r="L279" s="69" t="s">
        <v>31</v>
      </c>
      <c r="M279" s="69" t="s">
        <v>1381</v>
      </c>
      <c r="N279" s="69" t="s">
        <v>23</v>
      </c>
      <c r="O279" s="69" t="s">
        <v>1381</v>
      </c>
      <c r="P279" s="69" t="s">
        <v>21</v>
      </c>
    </row>
    <row r="280" s="59" customFormat="1" spans="1:16">
      <c r="A280" s="66" t="s">
        <v>1642</v>
      </c>
      <c r="B280" s="66" t="s">
        <v>17</v>
      </c>
      <c r="C280" s="66" t="s">
        <v>858</v>
      </c>
      <c r="D280" s="67" t="s">
        <v>18</v>
      </c>
      <c r="E280" s="66" t="s">
        <v>1643</v>
      </c>
      <c r="F280" s="66" t="s">
        <v>1644</v>
      </c>
      <c r="G280" s="66" t="s">
        <v>21</v>
      </c>
      <c r="H280" s="65">
        <v>200</v>
      </c>
      <c r="I280" s="66" t="s">
        <v>846</v>
      </c>
      <c r="J280" s="67" t="s">
        <v>1645</v>
      </c>
      <c r="K280" s="67">
        <v>6631.2</v>
      </c>
      <c r="L280" s="69" t="s">
        <v>31</v>
      </c>
      <c r="M280" s="69" t="s">
        <v>1381</v>
      </c>
      <c r="N280" s="69" t="s">
        <v>23</v>
      </c>
      <c r="O280" s="69" t="s">
        <v>1381</v>
      </c>
      <c r="P280" s="69" t="s">
        <v>21</v>
      </c>
    </row>
    <row r="281" spans="1:16">
      <c r="A281" s="64" t="s">
        <v>1646</v>
      </c>
      <c r="B281" s="64" t="s">
        <v>17</v>
      </c>
      <c r="C281" s="64" t="s">
        <v>794</v>
      </c>
      <c r="D281" s="64" t="s">
        <v>28</v>
      </c>
      <c r="E281" s="64" t="s">
        <v>1647</v>
      </c>
      <c r="F281" s="64" t="s">
        <v>1648</v>
      </c>
      <c r="G281" s="64" t="s">
        <v>21</v>
      </c>
      <c r="H281" s="65">
        <v>100</v>
      </c>
      <c r="I281" s="66"/>
      <c r="J281" s="67" t="s">
        <v>1368</v>
      </c>
      <c r="K281" s="67">
        <v>1864.5</v>
      </c>
      <c r="L281" s="68" t="s">
        <v>31</v>
      </c>
      <c r="M281" s="68" t="s">
        <v>32</v>
      </c>
      <c r="N281" s="68" t="s">
        <v>23</v>
      </c>
      <c r="O281" s="68" t="s">
        <v>32</v>
      </c>
      <c r="P281" s="68" t="s">
        <v>23</v>
      </c>
    </row>
    <row r="282" spans="1:16">
      <c r="A282" s="64" t="s">
        <v>1649</v>
      </c>
      <c r="B282" s="64" t="s">
        <v>17</v>
      </c>
      <c r="C282" s="64" t="s">
        <v>794</v>
      </c>
      <c r="D282" s="64" t="s">
        <v>28</v>
      </c>
      <c r="E282" s="64" t="s">
        <v>1650</v>
      </c>
      <c r="F282" s="64" t="s">
        <v>1651</v>
      </c>
      <c r="G282" s="64" t="s">
        <v>21</v>
      </c>
      <c r="H282" s="65">
        <v>50</v>
      </c>
      <c r="I282" s="66"/>
      <c r="J282" s="67" t="s">
        <v>1652</v>
      </c>
      <c r="K282" s="67">
        <v>1212.85</v>
      </c>
      <c r="L282" s="68" t="s">
        <v>31</v>
      </c>
      <c r="M282" s="68" t="s">
        <v>32</v>
      </c>
      <c r="N282" s="68" t="s">
        <v>23</v>
      </c>
      <c r="O282" s="68" t="s">
        <v>32</v>
      </c>
      <c r="P282" s="68" t="s">
        <v>23</v>
      </c>
    </row>
    <row r="283" s="59" customFormat="1" spans="1:16">
      <c r="A283" s="66" t="s">
        <v>1653</v>
      </c>
      <c r="B283" s="66" t="s">
        <v>17</v>
      </c>
      <c r="C283" s="66" t="s">
        <v>906</v>
      </c>
      <c r="D283" s="67" t="s">
        <v>18</v>
      </c>
      <c r="E283" s="66" t="s">
        <v>1654</v>
      </c>
      <c r="F283" s="66" t="s">
        <v>1655</v>
      </c>
      <c r="G283" s="66" t="s">
        <v>21</v>
      </c>
      <c r="H283" s="65">
        <v>400</v>
      </c>
      <c r="I283" s="66" t="s">
        <v>1014</v>
      </c>
      <c r="J283" s="67" t="s">
        <v>1656</v>
      </c>
      <c r="K283" s="67">
        <v>9156.8</v>
      </c>
      <c r="L283" s="67" t="s">
        <v>31</v>
      </c>
      <c r="M283" s="67" t="s">
        <v>52</v>
      </c>
      <c r="N283" s="67" t="s">
        <v>23</v>
      </c>
      <c r="O283" s="67" t="s">
        <v>52</v>
      </c>
      <c r="P283" s="67" t="s">
        <v>21</v>
      </c>
    </row>
    <row r="284" spans="1:16">
      <c r="A284" s="64" t="s">
        <v>1657</v>
      </c>
      <c r="B284" s="64" t="s">
        <v>17</v>
      </c>
      <c r="C284" s="64" t="s">
        <v>794</v>
      </c>
      <c r="D284" s="64" t="s">
        <v>28</v>
      </c>
      <c r="E284" s="64" t="s">
        <v>1658</v>
      </c>
      <c r="F284" s="64" t="s">
        <v>1659</v>
      </c>
      <c r="G284" s="64" t="s">
        <v>21</v>
      </c>
      <c r="H284" s="65">
        <v>150</v>
      </c>
      <c r="I284" s="66" t="s">
        <v>846</v>
      </c>
      <c r="J284" s="67" t="s">
        <v>1660</v>
      </c>
      <c r="K284" s="67">
        <v>1186.05</v>
      </c>
      <c r="L284" s="68" t="s">
        <v>31</v>
      </c>
      <c r="M284" s="68" t="s">
        <v>32</v>
      </c>
      <c r="N284" s="68" t="s">
        <v>23</v>
      </c>
      <c r="O284" s="68" t="s">
        <v>32</v>
      </c>
      <c r="P284" s="68" t="s">
        <v>23</v>
      </c>
    </row>
    <row r="285" spans="1:16">
      <c r="A285" s="64" t="s">
        <v>1661</v>
      </c>
      <c r="B285" s="64" t="s">
        <v>17</v>
      </c>
      <c r="C285" s="64" t="s">
        <v>794</v>
      </c>
      <c r="D285" s="64" t="s">
        <v>28</v>
      </c>
      <c r="E285" s="64" t="s">
        <v>1662</v>
      </c>
      <c r="F285" s="64" t="s">
        <v>1663</v>
      </c>
      <c r="G285" s="64" t="s">
        <v>21</v>
      </c>
      <c r="H285" s="65">
        <v>100</v>
      </c>
      <c r="I285" s="66" t="s">
        <v>846</v>
      </c>
      <c r="J285" s="67" t="s">
        <v>1664</v>
      </c>
      <c r="K285" s="67">
        <v>1004.5</v>
      </c>
      <c r="L285" s="68" t="s">
        <v>31</v>
      </c>
      <c r="M285" s="68" t="s">
        <v>32</v>
      </c>
      <c r="N285" s="68" t="s">
        <v>23</v>
      </c>
      <c r="O285" s="68" t="s">
        <v>32</v>
      </c>
      <c r="P285" s="68" t="s">
        <v>23</v>
      </c>
    </row>
    <row r="286" s="59" customFormat="1" spans="1:16">
      <c r="A286" s="66" t="s">
        <v>1665</v>
      </c>
      <c r="B286" s="66" t="s">
        <v>17</v>
      </c>
      <c r="C286" s="66" t="s">
        <v>858</v>
      </c>
      <c r="D286" s="67" t="s">
        <v>18</v>
      </c>
      <c r="E286" s="66" t="s">
        <v>1650</v>
      </c>
      <c r="F286" s="66" t="s">
        <v>1651</v>
      </c>
      <c r="G286" s="66" t="s">
        <v>21</v>
      </c>
      <c r="H286" s="65">
        <v>250</v>
      </c>
      <c r="I286" s="66"/>
      <c r="J286" s="67" t="s">
        <v>1652</v>
      </c>
      <c r="K286" s="67">
        <v>6064.25</v>
      </c>
      <c r="L286" s="67" t="s">
        <v>31</v>
      </c>
      <c r="M286" s="67" t="s">
        <v>75</v>
      </c>
      <c r="N286" s="67" t="s">
        <v>23</v>
      </c>
      <c r="O286" s="67" t="s">
        <v>75</v>
      </c>
      <c r="P286" s="67" t="s">
        <v>21</v>
      </c>
    </row>
    <row r="287" s="59" customFormat="1" spans="1:16">
      <c r="A287" s="66" t="s">
        <v>1666</v>
      </c>
      <c r="B287" s="66" t="s">
        <v>17</v>
      </c>
      <c r="C287" s="66" t="s">
        <v>858</v>
      </c>
      <c r="D287" s="67" t="s">
        <v>18</v>
      </c>
      <c r="E287" s="66" t="s">
        <v>314</v>
      </c>
      <c r="F287" s="66" t="s">
        <v>315</v>
      </c>
      <c r="G287" s="66" t="s">
        <v>21</v>
      </c>
      <c r="H287" s="65">
        <v>200</v>
      </c>
      <c r="I287" s="66"/>
      <c r="J287" s="67" t="s">
        <v>1667</v>
      </c>
      <c r="K287" s="67">
        <v>5416</v>
      </c>
      <c r="L287" s="67" t="s">
        <v>31</v>
      </c>
      <c r="M287" s="69" t="s">
        <v>52</v>
      </c>
      <c r="N287" s="67" t="s">
        <v>23</v>
      </c>
      <c r="O287" s="69" t="s">
        <v>52</v>
      </c>
      <c r="P287" s="67" t="s">
        <v>21</v>
      </c>
    </row>
    <row r="288" s="59" customFormat="1" spans="1:16">
      <c r="A288" s="66" t="s">
        <v>1668</v>
      </c>
      <c r="B288" s="66" t="s">
        <v>17</v>
      </c>
      <c r="C288" s="66" t="s">
        <v>867</v>
      </c>
      <c r="D288" s="67" t="s">
        <v>18</v>
      </c>
      <c r="E288" s="66" t="s">
        <v>1669</v>
      </c>
      <c r="F288" s="66" t="s">
        <v>1670</v>
      </c>
      <c r="G288" s="66" t="s">
        <v>21</v>
      </c>
      <c r="H288" s="65">
        <v>350</v>
      </c>
      <c r="I288" s="66"/>
      <c r="J288" s="67" t="s">
        <v>962</v>
      </c>
      <c r="K288" s="67">
        <v>2275</v>
      </c>
      <c r="L288" s="67" t="s">
        <v>31</v>
      </c>
      <c r="M288" s="69" t="s">
        <v>1381</v>
      </c>
      <c r="N288" s="67" t="s">
        <v>23</v>
      </c>
      <c r="O288" s="69" t="s">
        <v>1381</v>
      </c>
      <c r="P288" s="67" t="s">
        <v>21</v>
      </c>
    </row>
    <row r="289" spans="1:16">
      <c r="A289" s="64" t="s">
        <v>1671</v>
      </c>
      <c r="B289" s="64" t="s">
        <v>17</v>
      </c>
      <c r="C289" s="64" t="s">
        <v>794</v>
      </c>
      <c r="D289" s="64" t="s">
        <v>28</v>
      </c>
      <c r="E289" s="64" t="s">
        <v>1669</v>
      </c>
      <c r="F289" s="64" t="s">
        <v>1670</v>
      </c>
      <c r="G289" s="64" t="s">
        <v>21</v>
      </c>
      <c r="H289" s="65">
        <v>30</v>
      </c>
      <c r="I289" s="66"/>
      <c r="J289" s="67" t="s">
        <v>962</v>
      </c>
      <c r="K289" s="67">
        <v>195</v>
      </c>
      <c r="L289" s="68" t="s">
        <v>31</v>
      </c>
      <c r="M289" s="68" t="s">
        <v>32</v>
      </c>
      <c r="N289" s="68" t="s">
        <v>23</v>
      </c>
      <c r="O289" s="68" t="s">
        <v>32</v>
      </c>
      <c r="P289" s="68" t="s">
        <v>23</v>
      </c>
    </row>
    <row r="290" spans="1:16">
      <c r="A290" s="64" t="s">
        <v>1672</v>
      </c>
      <c r="B290" s="64" t="s">
        <v>17</v>
      </c>
      <c r="C290" s="64" t="s">
        <v>794</v>
      </c>
      <c r="D290" s="64" t="s">
        <v>28</v>
      </c>
      <c r="E290" s="64" t="s">
        <v>1673</v>
      </c>
      <c r="F290" s="64" t="s">
        <v>1674</v>
      </c>
      <c r="G290" s="64" t="s">
        <v>21</v>
      </c>
      <c r="H290" s="65">
        <v>30</v>
      </c>
      <c r="I290" s="66"/>
      <c r="J290" s="67" t="s">
        <v>962</v>
      </c>
      <c r="K290" s="67">
        <v>195</v>
      </c>
      <c r="L290" s="68" t="s">
        <v>31</v>
      </c>
      <c r="M290" s="68" t="s">
        <v>32</v>
      </c>
      <c r="N290" s="68" t="s">
        <v>23</v>
      </c>
      <c r="O290" s="68" t="s">
        <v>32</v>
      </c>
      <c r="P290" s="68" t="s">
        <v>23</v>
      </c>
    </row>
    <row r="291" spans="1:16">
      <c r="A291" s="64" t="s">
        <v>1675</v>
      </c>
      <c r="B291" s="64" t="s">
        <v>17</v>
      </c>
      <c r="C291" s="64" t="s">
        <v>794</v>
      </c>
      <c r="D291" s="64" t="s">
        <v>28</v>
      </c>
      <c r="E291" s="64" t="s">
        <v>936</v>
      </c>
      <c r="F291" s="64" t="s">
        <v>937</v>
      </c>
      <c r="G291" s="64" t="s">
        <v>21</v>
      </c>
      <c r="H291" s="65">
        <v>150</v>
      </c>
      <c r="I291" s="66" t="s">
        <v>846</v>
      </c>
      <c r="J291" s="67" t="s">
        <v>938</v>
      </c>
      <c r="K291" s="67">
        <v>1131.75</v>
      </c>
      <c r="L291" s="68" t="s">
        <v>31</v>
      </c>
      <c r="M291" s="68" t="s">
        <v>32</v>
      </c>
      <c r="N291" s="68" t="s">
        <v>23</v>
      </c>
      <c r="O291" s="68" t="s">
        <v>32</v>
      </c>
      <c r="P291" s="68" t="s">
        <v>23</v>
      </c>
    </row>
    <row r="292" s="59" customFormat="1" spans="1:16">
      <c r="A292" s="66" t="s">
        <v>1676</v>
      </c>
      <c r="B292" s="66" t="s">
        <v>17</v>
      </c>
      <c r="C292" s="66" t="s">
        <v>867</v>
      </c>
      <c r="D292" s="67" t="s">
        <v>18</v>
      </c>
      <c r="E292" s="66" t="s">
        <v>1673</v>
      </c>
      <c r="F292" s="66" t="s">
        <v>1674</v>
      </c>
      <c r="G292" s="66" t="s">
        <v>21</v>
      </c>
      <c r="H292" s="65">
        <v>200</v>
      </c>
      <c r="I292" s="66"/>
      <c r="J292" s="67" t="s">
        <v>962</v>
      </c>
      <c r="K292" s="67">
        <v>1300</v>
      </c>
      <c r="L292" s="67" t="s">
        <v>31</v>
      </c>
      <c r="M292" s="69" t="s">
        <v>1381</v>
      </c>
      <c r="N292" s="67" t="s">
        <v>23</v>
      </c>
      <c r="O292" s="69" t="s">
        <v>1381</v>
      </c>
      <c r="P292" s="67" t="s">
        <v>21</v>
      </c>
    </row>
    <row r="293" s="59" customFormat="1" spans="1:16">
      <c r="A293" s="66" t="s">
        <v>1677</v>
      </c>
      <c r="B293" s="66" t="s">
        <v>17</v>
      </c>
      <c r="C293" s="66" t="s">
        <v>803</v>
      </c>
      <c r="D293" s="67" t="s">
        <v>18</v>
      </c>
      <c r="E293" s="66" t="s">
        <v>1647</v>
      </c>
      <c r="F293" s="66" t="s">
        <v>1648</v>
      </c>
      <c r="G293" s="66" t="s">
        <v>21</v>
      </c>
      <c r="H293" s="65">
        <v>300</v>
      </c>
      <c r="I293" s="66"/>
      <c r="J293" s="67" t="s">
        <v>1368</v>
      </c>
      <c r="K293" s="67">
        <v>5593.5</v>
      </c>
      <c r="L293" s="69" t="s">
        <v>31</v>
      </c>
      <c r="M293" s="69" t="s">
        <v>52</v>
      </c>
      <c r="N293" s="69" t="s">
        <v>23</v>
      </c>
      <c r="O293" s="69" t="s">
        <v>52</v>
      </c>
      <c r="P293" s="69" t="s">
        <v>21</v>
      </c>
    </row>
    <row r="294" s="59" customFormat="1" spans="1:16">
      <c r="A294" s="66" t="s">
        <v>1678</v>
      </c>
      <c r="B294" s="66" t="s">
        <v>17</v>
      </c>
      <c r="C294" s="66" t="s">
        <v>812</v>
      </c>
      <c r="D294" s="67" t="s">
        <v>18</v>
      </c>
      <c r="E294" s="66" t="s">
        <v>1679</v>
      </c>
      <c r="F294" s="66" t="s">
        <v>1680</v>
      </c>
      <c r="G294" s="66" t="s">
        <v>21</v>
      </c>
      <c r="H294" s="65">
        <v>300</v>
      </c>
      <c r="I294" s="66"/>
      <c r="J294" s="67" t="s">
        <v>1681</v>
      </c>
      <c r="K294" s="67">
        <v>9409.5</v>
      </c>
      <c r="L294" s="67" t="s">
        <v>31</v>
      </c>
      <c r="M294" s="67" t="s">
        <v>75</v>
      </c>
      <c r="N294" s="67" t="s">
        <v>23</v>
      </c>
      <c r="O294" s="67" t="s">
        <v>75</v>
      </c>
      <c r="P294" s="67" t="s">
        <v>21</v>
      </c>
    </row>
    <row r="295" s="59" customFormat="1" spans="1:16">
      <c r="A295" s="66" t="s">
        <v>1682</v>
      </c>
      <c r="B295" s="66" t="s">
        <v>17</v>
      </c>
      <c r="C295" s="66" t="s">
        <v>803</v>
      </c>
      <c r="D295" s="67" t="s">
        <v>18</v>
      </c>
      <c r="E295" s="66" t="s">
        <v>1683</v>
      </c>
      <c r="F295" s="66" t="s">
        <v>1684</v>
      </c>
      <c r="G295" s="66" t="s">
        <v>21</v>
      </c>
      <c r="H295" s="65">
        <v>400</v>
      </c>
      <c r="I295" s="66"/>
      <c r="J295" s="67" t="s">
        <v>1685</v>
      </c>
      <c r="K295" s="67">
        <v>7538</v>
      </c>
      <c r="L295" s="69" t="s">
        <v>22</v>
      </c>
      <c r="M295" s="67"/>
      <c r="N295" s="67"/>
      <c r="O295" s="67"/>
      <c r="P295" s="67" t="s">
        <v>21</v>
      </c>
    </row>
    <row r="296" spans="1:16">
      <c r="A296" s="64" t="s">
        <v>1686</v>
      </c>
      <c r="B296" s="64" t="s">
        <v>17</v>
      </c>
      <c r="C296" s="64" t="s">
        <v>794</v>
      </c>
      <c r="D296" s="64" t="s">
        <v>28</v>
      </c>
      <c r="E296" s="64" t="s">
        <v>1683</v>
      </c>
      <c r="F296" s="64" t="s">
        <v>1684</v>
      </c>
      <c r="G296" s="64" t="s">
        <v>21</v>
      </c>
      <c r="H296" s="65">
        <v>30</v>
      </c>
      <c r="I296" s="66"/>
      <c r="J296" s="67" t="s">
        <v>1685</v>
      </c>
      <c r="K296" s="67">
        <v>565.35</v>
      </c>
      <c r="L296" s="68" t="s">
        <v>31</v>
      </c>
      <c r="M296" s="68" t="s">
        <v>32</v>
      </c>
      <c r="N296" s="68" t="s">
        <v>23</v>
      </c>
      <c r="O296" s="68" t="s">
        <v>32</v>
      </c>
      <c r="P296" s="68" t="s">
        <v>23</v>
      </c>
    </row>
    <row r="297" s="59" customFormat="1" spans="1:16">
      <c r="A297" s="66" t="s">
        <v>1687</v>
      </c>
      <c r="B297" s="66" t="s">
        <v>17</v>
      </c>
      <c r="C297" s="66" t="s">
        <v>858</v>
      </c>
      <c r="D297" s="67" t="s">
        <v>18</v>
      </c>
      <c r="E297" s="66" t="s">
        <v>1688</v>
      </c>
      <c r="F297" s="66" t="s">
        <v>1689</v>
      </c>
      <c r="G297" s="66" t="s">
        <v>21</v>
      </c>
      <c r="H297" s="65">
        <v>500</v>
      </c>
      <c r="I297" s="66"/>
      <c r="J297" s="67" t="s">
        <v>1376</v>
      </c>
      <c r="K297" s="67">
        <v>13672.5</v>
      </c>
      <c r="L297" s="67" t="s">
        <v>31</v>
      </c>
      <c r="M297" s="67" t="s">
        <v>75</v>
      </c>
      <c r="N297" s="67" t="s">
        <v>23</v>
      </c>
      <c r="O297" s="67" t="s">
        <v>75</v>
      </c>
      <c r="P297" s="67" t="s">
        <v>21</v>
      </c>
    </row>
    <row r="298" s="59" customFormat="1" spans="1:16">
      <c r="A298" s="66" t="s">
        <v>1690</v>
      </c>
      <c r="B298" s="66" t="s">
        <v>17</v>
      </c>
      <c r="C298" s="66" t="s">
        <v>812</v>
      </c>
      <c r="D298" s="67" t="s">
        <v>18</v>
      </c>
      <c r="E298" s="66" t="s">
        <v>1691</v>
      </c>
      <c r="F298" s="66" t="s">
        <v>1692</v>
      </c>
      <c r="G298" s="66" t="s">
        <v>21</v>
      </c>
      <c r="H298" s="65">
        <v>400</v>
      </c>
      <c r="I298" s="66"/>
      <c r="J298" s="67" t="s">
        <v>1693</v>
      </c>
      <c r="K298" s="67">
        <v>19494.4</v>
      </c>
      <c r="L298" s="69" t="s">
        <v>31</v>
      </c>
      <c r="M298" s="69" t="s">
        <v>52</v>
      </c>
      <c r="N298" s="69" t="s">
        <v>23</v>
      </c>
      <c r="O298" s="69" t="s">
        <v>52</v>
      </c>
      <c r="P298" s="69" t="s">
        <v>21</v>
      </c>
    </row>
    <row r="299" s="59" customFormat="1" spans="1:16">
      <c r="A299" s="66" t="s">
        <v>1694</v>
      </c>
      <c r="B299" s="66" t="s">
        <v>17</v>
      </c>
      <c r="C299" s="66" t="s">
        <v>803</v>
      </c>
      <c r="D299" s="67" t="s">
        <v>18</v>
      </c>
      <c r="E299" s="66" t="s">
        <v>1695</v>
      </c>
      <c r="F299" s="66" t="s">
        <v>1696</v>
      </c>
      <c r="G299" s="66" t="s">
        <v>21</v>
      </c>
      <c r="H299" s="65">
        <v>300</v>
      </c>
      <c r="I299" s="66"/>
      <c r="J299" s="67" t="s">
        <v>1697</v>
      </c>
      <c r="K299" s="67">
        <v>3168</v>
      </c>
      <c r="L299" s="69" t="s">
        <v>22</v>
      </c>
      <c r="M299" s="67"/>
      <c r="N299" s="67"/>
      <c r="O299" s="67"/>
      <c r="P299" s="69" t="s">
        <v>21</v>
      </c>
    </row>
    <row r="300" spans="1:16">
      <c r="A300" s="64" t="s">
        <v>1698</v>
      </c>
      <c r="B300" s="64" t="s">
        <v>17</v>
      </c>
      <c r="C300" s="64" t="s">
        <v>794</v>
      </c>
      <c r="D300" s="64" t="s">
        <v>28</v>
      </c>
      <c r="E300" s="64" t="s">
        <v>1699</v>
      </c>
      <c r="F300" s="64" t="s">
        <v>1700</v>
      </c>
      <c r="G300" s="64" t="s">
        <v>21</v>
      </c>
      <c r="H300" s="65">
        <v>30</v>
      </c>
      <c r="I300" s="66"/>
      <c r="J300" s="67" t="s">
        <v>1701</v>
      </c>
      <c r="K300" s="67">
        <v>538.8</v>
      </c>
      <c r="L300" s="68" t="s">
        <v>31</v>
      </c>
      <c r="M300" s="68" t="s">
        <v>32</v>
      </c>
      <c r="N300" s="68" t="s">
        <v>23</v>
      </c>
      <c r="O300" s="68" t="s">
        <v>32</v>
      </c>
      <c r="P300" s="68" t="s">
        <v>23</v>
      </c>
    </row>
    <row r="301" s="59" customFormat="1" spans="1:16">
      <c r="A301" s="66" t="s">
        <v>1702</v>
      </c>
      <c r="B301" s="66" t="s">
        <v>17</v>
      </c>
      <c r="C301" s="66" t="s">
        <v>803</v>
      </c>
      <c r="D301" s="67" t="s">
        <v>18</v>
      </c>
      <c r="E301" s="66" t="s">
        <v>1699</v>
      </c>
      <c r="F301" s="66" t="s">
        <v>1700</v>
      </c>
      <c r="G301" s="66" t="s">
        <v>21</v>
      </c>
      <c r="H301" s="65">
        <v>200</v>
      </c>
      <c r="I301" s="66"/>
      <c r="J301" s="67" t="s">
        <v>1701</v>
      </c>
      <c r="K301" s="67">
        <v>3592</v>
      </c>
      <c r="L301" s="69" t="s">
        <v>22</v>
      </c>
      <c r="M301" s="67"/>
      <c r="N301" s="67"/>
      <c r="O301" s="67"/>
      <c r="P301" s="67" t="s">
        <v>21</v>
      </c>
    </row>
    <row r="302" spans="1:16">
      <c r="A302" s="64" t="s">
        <v>1703</v>
      </c>
      <c r="B302" s="64" t="s">
        <v>17</v>
      </c>
      <c r="C302" s="64" t="s">
        <v>794</v>
      </c>
      <c r="D302" s="64" t="s">
        <v>28</v>
      </c>
      <c r="E302" s="64" t="s">
        <v>1704</v>
      </c>
      <c r="F302" s="64" t="s">
        <v>1705</v>
      </c>
      <c r="G302" s="64" t="s">
        <v>21</v>
      </c>
      <c r="H302" s="65">
        <v>150</v>
      </c>
      <c r="I302" s="66"/>
      <c r="J302" s="67" t="s">
        <v>1368</v>
      </c>
      <c r="K302" s="67">
        <v>2796.75</v>
      </c>
      <c r="L302" s="68" t="s">
        <v>31</v>
      </c>
      <c r="M302" s="68" t="s">
        <v>32</v>
      </c>
      <c r="N302" s="68" t="s">
        <v>23</v>
      </c>
      <c r="O302" s="68" t="s">
        <v>32</v>
      </c>
      <c r="P302" s="68" t="s">
        <v>23</v>
      </c>
    </row>
    <row r="303" spans="1:16">
      <c r="A303" s="64" t="s">
        <v>1706</v>
      </c>
      <c r="B303" s="64" t="s">
        <v>17</v>
      </c>
      <c r="C303" s="64" t="s">
        <v>794</v>
      </c>
      <c r="D303" s="64" t="s">
        <v>28</v>
      </c>
      <c r="E303" s="64" t="s">
        <v>1707</v>
      </c>
      <c r="F303" s="64" t="s">
        <v>1708</v>
      </c>
      <c r="G303" s="64" t="s">
        <v>21</v>
      </c>
      <c r="H303" s="65">
        <v>100</v>
      </c>
      <c r="I303" s="66"/>
      <c r="J303" s="67" t="s">
        <v>1709</v>
      </c>
      <c r="K303" s="67">
        <v>2558.5</v>
      </c>
      <c r="L303" s="68" t="s">
        <v>31</v>
      </c>
      <c r="M303" s="68" t="s">
        <v>32</v>
      </c>
      <c r="N303" s="68" t="s">
        <v>23</v>
      </c>
      <c r="O303" s="68" t="s">
        <v>32</v>
      </c>
      <c r="P303" s="68" t="s">
        <v>23</v>
      </c>
    </row>
    <row r="304" spans="1:16">
      <c r="A304" s="64" t="s">
        <v>1710</v>
      </c>
      <c r="B304" s="64" t="s">
        <v>17</v>
      </c>
      <c r="C304" s="64" t="s">
        <v>849</v>
      </c>
      <c r="D304" s="64" t="s">
        <v>28</v>
      </c>
      <c r="E304" s="64" t="s">
        <v>986</v>
      </c>
      <c r="F304" s="64" t="s">
        <v>987</v>
      </c>
      <c r="G304" s="64" t="s">
        <v>21</v>
      </c>
      <c r="H304" s="65">
        <v>50</v>
      </c>
      <c r="I304" s="66"/>
      <c r="J304" s="67" t="s">
        <v>988</v>
      </c>
      <c r="K304" s="67">
        <v>1059.85</v>
      </c>
      <c r="L304" s="68" t="s">
        <v>31</v>
      </c>
      <c r="M304" s="68" t="s">
        <v>32</v>
      </c>
      <c r="N304" s="68" t="s">
        <v>23</v>
      </c>
      <c r="O304" s="68" t="s">
        <v>32</v>
      </c>
      <c r="P304" s="68" t="s">
        <v>23</v>
      </c>
    </row>
    <row r="305" spans="1:16">
      <c r="A305" s="64" t="s">
        <v>1711</v>
      </c>
      <c r="B305" s="64" t="s">
        <v>17</v>
      </c>
      <c r="C305" s="64" t="s">
        <v>849</v>
      </c>
      <c r="D305" s="64" t="s">
        <v>28</v>
      </c>
      <c r="E305" s="64" t="s">
        <v>94</v>
      </c>
      <c r="F305" s="64" t="s">
        <v>95</v>
      </c>
      <c r="G305" s="64" t="s">
        <v>21</v>
      </c>
      <c r="H305" s="65">
        <v>150</v>
      </c>
      <c r="I305" s="66"/>
      <c r="J305" s="67" t="s">
        <v>1712</v>
      </c>
      <c r="K305" s="67">
        <v>3985.665</v>
      </c>
      <c r="L305" s="68" t="s">
        <v>31</v>
      </c>
      <c r="M305" s="68" t="s">
        <v>32</v>
      </c>
      <c r="N305" s="68" t="s">
        <v>23</v>
      </c>
      <c r="O305" s="68" t="s">
        <v>32</v>
      </c>
      <c r="P305" s="68" t="s">
        <v>23</v>
      </c>
    </row>
    <row r="306" s="59" customFormat="1" spans="1:16">
      <c r="A306" s="66" t="s">
        <v>1713</v>
      </c>
      <c r="B306" s="66" t="s">
        <v>17</v>
      </c>
      <c r="C306" s="66" t="s">
        <v>803</v>
      </c>
      <c r="D306" s="67" t="s">
        <v>18</v>
      </c>
      <c r="E306" s="66" t="s">
        <v>986</v>
      </c>
      <c r="F306" s="66" t="s">
        <v>987</v>
      </c>
      <c r="G306" s="66" t="s">
        <v>21</v>
      </c>
      <c r="H306" s="65">
        <v>406</v>
      </c>
      <c r="I306" s="66"/>
      <c r="J306" s="67" t="s">
        <v>988</v>
      </c>
      <c r="K306" s="67">
        <v>8605.982</v>
      </c>
      <c r="L306" s="69" t="s">
        <v>31</v>
      </c>
      <c r="M306" s="69" t="s">
        <v>52</v>
      </c>
      <c r="N306" s="69" t="s">
        <v>23</v>
      </c>
      <c r="O306" s="69" t="s">
        <v>52</v>
      </c>
      <c r="P306" s="69" t="s">
        <v>21</v>
      </c>
    </row>
    <row r="307" spans="1:16">
      <c r="A307" s="64" t="s">
        <v>1714</v>
      </c>
      <c r="B307" s="64" t="s">
        <v>17</v>
      </c>
      <c r="C307" s="64" t="s">
        <v>794</v>
      </c>
      <c r="D307" s="64" t="s">
        <v>28</v>
      </c>
      <c r="E307" s="64" t="s">
        <v>1715</v>
      </c>
      <c r="F307" s="64" t="s">
        <v>1716</v>
      </c>
      <c r="G307" s="64" t="s">
        <v>21</v>
      </c>
      <c r="H307" s="65">
        <v>100</v>
      </c>
      <c r="I307" s="66"/>
      <c r="J307" s="67" t="s">
        <v>962</v>
      </c>
      <c r="K307" s="67">
        <v>650</v>
      </c>
      <c r="L307" s="68" t="s">
        <v>31</v>
      </c>
      <c r="M307" s="68" t="s">
        <v>32</v>
      </c>
      <c r="N307" s="68" t="s">
        <v>23</v>
      </c>
      <c r="O307" s="68" t="s">
        <v>32</v>
      </c>
      <c r="P307" s="68" t="s">
        <v>23</v>
      </c>
    </row>
    <row r="308" spans="1:16">
      <c r="A308" s="64" t="s">
        <v>1717</v>
      </c>
      <c r="B308" s="64" t="s">
        <v>17</v>
      </c>
      <c r="C308" s="64" t="s">
        <v>794</v>
      </c>
      <c r="D308" s="64" t="s">
        <v>28</v>
      </c>
      <c r="E308" s="64" t="s">
        <v>1718</v>
      </c>
      <c r="F308" s="64" t="s">
        <v>1719</v>
      </c>
      <c r="G308" s="64" t="s">
        <v>21</v>
      </c>
      <c r="H308" s="65">
        <v>30</v>
      </c>
      <c r="I308" s="66"/>
      <c r="J308" s="67" t="s">
        <v>1720</v>
      </c>
      <c r="K308" s="67">
        <v>594.24</v>
      </c>
      <c r="L308" s="68" t="s">
        <v>31</v>
      </c>
      <c r="M308" s="68" t="s">
        <v>32</v>
      </c>
      <c r="N308" s="68" t="s">
        <v>23</v>
      </c>
      <c r="O308" s="68" t="s">
        <v>32</v>
      </c>
      <c r="P308" s="68" t="s">
        <v>23</v>
      </c>
    </row>
    <row r="309" spans="1:16">
      <c r="A309" s="64" t="s">
        <v>1721</v>
      </c>
      <c r="B309" s="64" t="s">
        <v>17</v>
      </c>
      <c r="C309" s="64" t="s">
        <v>794</v>
      </c>
      <c r="D309" s="64" t="s">
        <v>28</v>
      </c>
      <c r="E309" s="64" t="s">
        <v>1722</v>
      </c>
      <c r="F309" s="64" t="s">
        <v>1723</v>
      </c>
      <c r="G309" s="64" t="s">
        <v>21</v>
      </c>
      <c r="H309" s="65">
        <v>30</v>
      </c>
      <c r="I309" s="66"/>
      <c r="J309" s="67" t="s">
        <v>1720</v>
      </c>
      <c r="K309" s="67">
        <v>594.24</v>
      </c>
      <c r="L309" s="68" t="s">
        <v>31</v>
      </c>
      <c r="M309" s="68" t="s">
        <v>32</v>
      </c>
      <c r="N309" s="68" t="s">
        <v>23</v>
      </c>
      <c r="O309" s="68" t="s">
        <v>32</v>
      </c>
      <c r="P309" s="68" t="s">
        <v>23</v>
      </c>
    </row>
    <row r="310" s="59" customFormat="1" spans="1:16">
      <c r="A310" s="66" t="s">
        <v>1724</v>
      </c>
      <c r="B310" s="66" t="s">
        <v>17</v>
      </c>
      <c r="C310" s="66" t="s">
        <v>946</v>
      </c>
      <c r="D310" s="67" t="s">
        <v>18</v>
      </c>
      <c r="E310" s="66" t="s">
        <v>1725</v>
      </c>
      <c r="F310" s="66" t="s">
        <v>1726</v>
      </c>
      <c r="G310" s="66" t="s">
        <v>21</v>
      </c>
      <c r="H310" s="65">
        <v>200</v>
      </c>
      <c r="I310" s="66"/>
      <c r="J310" s="67" t="s">
        <v>1727</v>
      </c>
      <c r="K310" s="67">
        <v>13331.6</v>
      </c>
      <c r="L310" s="69" t="s">
        <v>31</v>
      </c>
      <c r="M310" s="69" t="s">
        <v>75</v>
      </c>
      <c r="N310" s="69" t="s">
        <v>23</v>
      </c>
      <c r="O310" s="69" t="s">
        <v>75</v>
      </c>
      <c r="P310" s="69" t="s">
        <v>23</v>
      </c>
    </row>
    <row r="311" spans="1:16">
      <c r="A311" s="64" t="s">
        <v>1728</v>
      </c>
      <c r="B311" s="64" t="s">
        <v>17</v>
      </c>
      <c r="C311" s="64" t="s">
        <v>794</v>
      </c>
      <c r="D311" s="64" t="s">
        <v>28</v>
      </c>
      <c r="E311" s="64" t="s">
        <v>1729</v>
      </c>
      <c r="F311" s="64" t="s">
        <v>1730</v>
      </c>
      <c r="G311" s="64" t="s">
        <v>21</v>
      </c>
      <c r="H311" s="65">
        <v>100</v>
      </c>
      <c r="I311" s="66"/>
      <c r="J311" s="67" t="s">
        <v>1731</v>
      </c>
      <c r="K311" s="67">
        <v>3180.8</v>
      </c>
      <c r="L311" s="68" t="s">
        <v>31</v>
      </c>
      <c r="M311" s="68" t="s">
        <v>32</v>
      </c>
      <c r="N311" s="68" t="s">
        <v>23</v>
      </c>
      <c r="O311" s="68" t="s">
        <v>32</v>
      </c>
      <c r="P311" s="68" t="s">
        <v>23</v>
      </c>
    </row>
    <row r="312" s="59" customFormat="1" spans="1:16">
      <c r="A312" s="66" t="s">
        <v>1732</v>
      </c>
      <c r="B312" s="66" t="s">
        <v>17</v>
      </c>
      <c r="C312" s="66" t="s">
        <v>803</v>
      </c>
      <c r="D312" s="67" t="s">
        <v>18</v>
      </c>
      <c r="E312" s="66" t="s">
        <v>1733</v>
      </c>
      <c r="F312" s="66" t="s">
        <v>1734</v>
      </c>
      <c r="G312" s="66" t="s">
        <v>21</v>
      </c>
      <c r="H312" s="65">
        <v>300</v>
      </c>
      <c r="I312" s="66"/>
      <c r="J312" s="67" t="s">
        <v>1693</v>
      </c>
      <c r="K312" s="67">
        <v>14620.8</v>
      </c>
      <c r="L312" s="69" t="s">
        <v>31</v>
      </c>
      <c r="M312" s="69" t="s">
        <v>52</v>
      </c>
      <c r="N312" s="69" t="s">
        <v>23</v>
      </c>
      <c r="O312" s="69" t="s">
        <v>52</v>
      </c>
      <c r="P312" s="69" t="s">
        <v>21</v>
      </c>
    </row>
    <row r="313" spans="1:16">
      <c r="A313" s="64" t="s">
        <v>1735</v>
      </c>
      <c r="B313" s="64" t="s">
        <v>17</v>
      </c>
      <c r="C313" s="64" t="s">
        <v>794</v>
      </c>
      <c r="D313" s="64" t="s">
        <v>28</v>
      </c>
      <c r="E313" s="64" t="s">
        <v>1736</v>
      </c>
      <c r="F313" s="64" t="s">
        <v>1737</v>
      </c>
      <c r="G313" s="64" t="s">
        <v>21</v>
      </c>
      <c r="H313" s="65">
        <v>180</v>
      </c>
      <c r="I313" s="66"/>
      <c r="J313" s="67" t="s">
        <v>1738</v>
      </c>
      <c r="K313" s="67">
        <v>2980.8</v>
      </c>
      <c r="L313" s="68" t="s">
        <v>31</v>
      </c>
      <c r="M313" s="68" t="s">
        <v>32</v>
      </c>
      <c r="N313" s="68" t="s">
        <v>23</v>
      </c>
      <c r="O313" s="68" t="s">
        <v>32</v>
      </c>
      <c r="P313" s="68" t="s">
        <v>23</v>
      </c>
    </row>
    <row r="314" s="59" customFormat="1" spans="1:16">
      <c r="A314" s="66" t="s">
        <v>1739</v>
      </c>
      <c r="B314" s="66" t="s">
        <v>17</v>
      </c>
      <c r="C314" s="66" t="s">
        <v>946</v>
      </c>
      <c r="D314" s="67" t="s">
        <v>18</v>
      </c>
      <c r="E314" s="66" t="s">
        <v>1740</v>
      </c>
      <c r="F314" s="66" t="s">
        <v>1741</v>
      </c>
      <c r="G314" s="66" t="s">
        <v>21</v>
      </c>
      <c r="H314" s="65">
        <v>300</v>
      </c>
      <c r="I314" s="66"/>
      <c r="J314" s="67" t="s">
        <v>1742</v>
      </c>
      <c r="K314" s="67">
        <v>10533</v>
      </c>
      <c r="L314" s="69" t="s">
        <v>31</v>
      </c>
      <c r="M314" s="69" t="s">
        <v>75</v>
      </c>
      <c r="N314" s="69" t="s">
        <v>23</v>
      </c>
      <c r="O314" s="69" t="s">
        <v>75</v>
      </c>
      <c r="P314" s="69" t="s">
        <v>21</v>
      </c>
    </row>
    <row r="315" s="59" customFormat="1" spans="1:16">
      <c r="A315" s="66" t="s">
        <v>1743</v>
      </c>
      <c r="B315" s="66" t="s">
        <v>17</v>
      </c>
      <c r="C315" s="66" t="s">
        <v>803</v>
      </c>
      <c r="D315" s="67" t="s">
        <v>18</v>
      </c>
      <c r="E315" s="66" t="s">
        <v>1744</v>
      </c>
      <c r="F315" s="66" t="s">
        <v>1745</v>
      </c>
      <c r="G315" s="66" t="s">
        <v>21</v>
      </c>
      <c r="H315" s="65">
        <v>500</v>
      </c>
      <c r="I315" s="66"/>
      <c r="J315" s="67" t="s">
        <v>1746</v>
      </c>
      <c r="K315" s="67">
        <v>11046</v>
      </c>
      <c r="L315" s="69" t="s">
        <v>31</v>
      </c>
      <c r="M315" s="69" t="s">
        <v>52</v>
      </c>
      <c r="N315" s="69" t="s">
        <v>23</v>
      </c>
      <c r="O315" s="69" t="s">
        <v>52</v>
      </c>
      <c r="P315" s="69" t="s">
        <v>21</v>
      </c>
    </row>
    <row r="316" spans="1:16">
      <c r="A316" s="64" t="s">
        <v>1747</v>
      </c>
      <c r="B316" s="64" t="s">
        <v>17</v>
      </c>
      <c r="C316" s="64" t="s">
        <v>794</v>
      </c>
      <c r="D316" s="64" t="s">
        <v>28</v>
      </c>
      <c r="E316" s="64" t="s">
        <v>1744</v>
      </c>
      <c r="F316" s="64" t="s">
        <v>1745</v>
      </c>
      <c r="G316" s="64" t="s">
        <v>21</v>
      </c>
      <c r="H316" s="65">
        <v>30</v>
      </c>
      <c r="I316" s="66"/>
      <c r="J316" s="67" t="s">
        <v>1746</v>
      </c>
      <c r="K316" s="67">
        <v>662.76</v>
      </c>
      <c r="L316" s="68" t="s">
        <v>31</v>
      </c>
      <c r="M316" s="68" t="s">
        <v>32</v>
      </c>
      <c r="N316" s="68" t="s">
        <v>23</v>
      </c>
      <c r="O316" s="68" t="s">
        <v>32</v>
      </c>
      <c r="P316" s="68" t="s">
        <v>23</v>
      </c>
    </row>
    <row r="317" spans="1:16">
      <c r="A317" s="64" t="s">
        <v>1748</v>
      </c>
      <c r="B317" s="64" t="s">
        <v>17</v>
      </c>
      <c r="C317" s="64" t="s">
        <v>794</v>
      </c>
      <c r="D317" s="64" t="s">
        <v>28</v>
      </c>
      <c r="E317" s="64" t="s">
        <v>1749</v>
      </c>
      <c r="F317" s="64" t="s">
        <v>1750</v>
      </c>
      <c r="G317" s="64" t="s">
        <v>21</v>
      </c>
      <c r="H317" s="65">
        <v>30</v>
      </c>
      <c r="I317" s="66"/>
      <c r="J317" s="67" t="s">
        <v>1751</v>
      </c>
      <c r="K317" s="67">
        <v>554.76</v>
      </c>
      <c r="L317" s="68" t="s">
        <v>31</v>
      </c>
      <c r="M317" s="68" t="s">
        <v>32</v>
      </c>
      <c r="N317" s="68" t="s">
        <v>23</v>
      </c>
      <c r="O317" s="68" t="s">
        <v>32</v>
      </c>
      <c r="P317" s="68" t="s">
        <v>23</v>
      </c>
    </row>
    <row r="318" s="59" customFormat="1" spans="1:16">
      <c r="A318" s="66" t="s">
        <v>1752</v>
      </c>
      <c r="B318" s="66" t="s">
        <v>17</v>
      </c>
      <c r="C318" s="66" t="s">
        <v>946</v>
      </c>
      <c r="D318" s="67" t="s">
        <v>18</v>
      </c>
      <c r="E318" s="66" t="s">
        <v>1749</v>
      </c>
      <c r="F318" s="66" t="s">
        <v>1750</v>
      </c>
      <c r="G318" s="66" t="s">
        <v>21</v>
      </c>
      <c r="H318" s="65">
        <v>350</v>
      </c>
      <c r="I318" s="66"/>
      <c r="J318" s="67" t="s">
        <v>1751</v>
      </c>
      <c r="K318" s="67">
        <v>6472.2</v>
      </c>
      <c r="L318" s="69" t="s">
        <v>31</v>
      </c>
      <c r="M318" s="69" t="s">
        <v>52</v>
      </c>
      <c r="N318" s="69" t="s">
        <v>23</v>
      </c>
      <c r="O318" s="69" t="s">
        <v>52</v>
      </c>
      <c r="P318" s="69" t="s">
        <v>21</v>
      </c>
    </row>
    <row r="319" s="59" customFormat="1" spans="1:16">
      <c r="A319" s="66" t="s">
        <v>1753</v>
      </c>
      <c r="B319" s="66" t="s">
        <v>17</v>
      </c>
      <c r="C319" s="66" t="s">
        <v>858</v>
      </c>
      <c r="D319" s="67" t="s">
        <v>18</v>
      </c>
      <c r="E319" s="66" t="s">
        <v>1235</v>
      </c>
      <c r="F319" s="66" t="s">
        <v>1236</v>
      </c>
      <c r="G319" s="66" t="s">
        <v>21</v>
      </c>
      <c r="H319" s="65">
        <v>500</v>
      </c>
      <c r="I319" s="69" t="s">
        <v>804</v>
      </c>
      <c r="J319" s="67" t="s">
        <v>1237</v>
      </c>
      <c r="K319" s="67">
        <v>8012.5</v>
      </c>
      <c r="L319" s="69" t="s">
        <v>31</v>
      </c>
      <c r="M319" s="69" t="s">
        <v>52</v>
      </c>
      <c r="N319" s="69" t="s">
        <v>23</v>
      </c>
      <c r="O319" s="69" t="s">
        <v>52</v>
      </c>
      <c r="P319" s="69" t="s">
        <v>21</v>
      </c>
    </row>
    <row r="320" spans="1:16">
      <c r="A320" s="64" t="s">
        <v>1754</v>
      </c>
      <c r="B320" s="64" t="s">
        <v>17</v>
      </c>
      <c r="C320" s="64" t="s">
        <v>794</v>
      </c>
      <c r="D320" s="64" t="s">
        <v>28</v>
      </c>
      <c r="E320" s="64" t="s">
        <v>915</v>
      </c>
      <c r="F320" s="64" t="s">
        <v>916</v>
      </c>
      <c r="G320" s="64" t="s">
        <v>21</v>
      </c>
      <c r="H320" s="65">
        <v>200</v>
      </c>
      <c r="I320" s="66"/>
      <c r="J320" s="67" t="s">
        <v>917</v>
      </c>
      <c r="K320" s="67">
        <v>3757</v>
      </c>
      <c r="L320" s="68" t="s">
        <v>31</v>
      </c>
      <c r="M320" s="68" t="s">
        <v>32</v>
      </c>
      <c r="N320" s="68" t="s">
        <v>23</v>
      </c>
      <c r="O320" s="68" t="s">
        <v>32</v>
      </c>
      <c r="P320" s="68" t="s">
        <v>23</v>
      </c>
    </row>
    <row r="321" s="59" customFormat="1" spans="1:16">
      <c r="A321" s="66" t="s">
        <v>1755</v>
      </c>
      <c r="B321" s="66" t="s">
        <v>17</v>
      </c>
      <c r="C321" s="66" t="s">
        <v>803</v>
      </c>
      <c r="D321" s="67" t="s">
        <v>18</v>
      </c>
      <c r="E321" s="66" t="s">
        <v>1756</v>
      </c>
      <c r="F321" s="66" t="s">
        <v>760</v>
      </c>
      <c r="G321" s="66" t="s">
        <v>21</v>
      </c>
      <c r="H321" s="65">
        <v>2000</v>
      </c>
      <c r="I321" s="66" t="s">
        <v>846</v>
      </c>
      <c r="J321" s="67" t="s">
        <v>1757</v>
      </c>
      <c r="K321" s="67">
        <v>48000</v>
      </c>
      <c r="L321" s="69" t="s">
        <v>31</v>
      </c>
      <c r="M321" s="69" t="s">
        <v>52</v>
      </c>
      <c r="N321" s="69" t="s">
        <v>23</v>
      </c>
      <c r="O321" s="69" t="s">
        <v>52</v>
      </c>
      <c r="P321" s="69" t="s">
        <v>21</v>
      </c>
    </row>
    <row r="322" s="59" customFormat="1" spans="1:16">
      <c r="A322" s="66" t="s">
        <v>1758</v>
      </c>
      <c r="B322" s="66" t="s">
        <v>17</v>
      </c>
      <c r="C322" s="66" t="s">
        <v>858</v>
      </c>
      <c r="D322" s="67" t="s">
        <v>18</v>
      </c>
      <c r="E322" s="66" t="s">
        <v>1759</v>
      </c>
      <c r="F322" s="66" t="s">
        <v>1760</v>
      </c>
      <c r="G322" s="66" t="s">
        <v>21</v>
      </c>
      <c r="H322" s="65">
        <v>400</v>
      </c>
      <c r="I322" s="66" t="s">
        <v>809</v>
      </c>
      <c r="J322" s="67" t="s">
        <v>1761</v>
      </c>
      <c r="K322" s="67">
        <v>14282.4</v>
      </c>
      <c r="L322" s="69" t="s">
        <v>31</v>
      </c>
      <c r="M322" s="69" t="s">
        <v>1381</v>
      </c>
      <c r="N322" s="69" t="s">
        <v>23</v>
      </c>
      <c r="O322" s="69" t="s">
        <v>1381</v>
      </c>
      <c r="P322" s="69" t="s">
        <v>21</v>
      </c>
    </row>
    <row r="323" s="59" customFormat="1" spans="1:16">
      <c r="A323" s="66" t="s">
        <v>1762</v>
      </c>
      <c r="B323" s="66" t="s">
        <v>49</v>
      </c>
      <c r="C323" s="66" t="s">
        <v>812</v>
      </c>
      <c r="D323" s="67" t="s">
        <v>18</v>
      </c>
      <c r="E323" s="66" t="s">
        <v>300</v>
      </c>
      <c r="F323" s="66" t="s">
        <v>301</v>
      </c>
      <c r="G323" s="66" t="s">
        <v>21</v>
      </c>
      <c r="H323" s="65">
        <v>518</v>
      </c>
      <c r="I323" s="66"/>
      <c r="J323" s="67" t="s">
        <v>1763</v>
      </c>
      <c r="K323" s="67">
        <v>9899.498</v>
      </c>
      <c r="L323" s="67" t="s">
        <v>31</v>
      </c>
      <c r="M323" s="69" t="s">
        <v>52</v>
      </c>
      <c r="N323" s="67" t="s">
        <v>23</v>
      </c>
      <c r="O323" s="69" t="s">
        <v>52</v>
      </c>
      <c r="P323" s="67" t="s">
        <v>21</v>
      </c>
    </row>
    <row r="324" s="59" customFormat="1" spans="1:16">
      <c r="A324" s="66" t="s">
        <v>1764</v>
      </c>
      <c r="B324" s="66" t="s">
        <v>17</v>
      </c>
      <c r="C324" s="66" t="s">
        <v>812</v>
      </c>
      <c r="D324" s="67" t="s">
        <v>18</v>
      </c>
      <c r="E324" s="66" t="s">
        <v>306</v>
      </c>
      <c r="F324" s="66" t="s">
        <v>307</v>
      </c>
      <c r="G324" s="66" t="s">
        <v>21</v>
      </c>
      <c r="H324" s="65">
        <v>460</v>
      </c>
      <c r="I324" s="69" t="s">
        <v>804</v>
      </c>
      <c r="J324" s="67" t="s">
        <v>1765</v>
      </c>
      <c r="K324" s="67">
        <v>8648</v>
      </c>
      <c r="L324" s="69" t="s">
        <v>31</v>
      </c>
      <c r="M324" s="69" t="s">
        <v>75</v>
      </c>
      <c r="N324" s="69" t="s">
        <v>21</v>
      </c>
      <c r="O324" s="67"/>
      <c r="P324" s="69" t="s">
        <v>21</v>
      </c>
    </row>
    <row r="325" s="59" customFormat="1" spans="1:16">
      <c r="A325" s="66" t="s">
        <v>1766</v>
      </c>
      <c r="B325" s="66" t="s">
        <v>49</v>
      </c>
      <c r="C325" s="66" t="s">
        <v>812</v>
      </c>
      <c r="D325" s="67" t="s">
        <v>18</v>
      </c>
      <c r="E325" s="66" t="s">
        <v>1767</v>
      </c>
      <c r="F325" s="66" t="s">
        <v>1768</v>
      </c>
      <c r="G325" s="66" t="s">
        <v>21</v>
      </c>
      <c r="H325" s="65">
        <v>506</v>
      </c>
      <c r="I325" s="66"/>
      <c r="J325" s="67" t="s">
        <v>1769</v>
      </c>
      <c r="K325" s="67">
        <v>11567.16</v>
      </c>
      <c r="L325" s="67" t="s">
        <v>31</v>
      </c>
      <c r="M325" s="69" t="s">
        <v>52</v>
      </c>
      <c r="N325" s="67" t="s">
        <v>23</v>
      </c>
      <c r="O325" s="69" t="s">
        <v>52</v>
      </c>
      <c r="P325" s="67" t="s">
        <v>21</v>
      </c>
    </row>
    <row r="326" spans="1:16">
      <c r="A326" s="64" t="s">
        <v>1770</v>
      </c>
      <c r="B326" s="64" t="s">
        <v>17</v>
      </c>
      <c r="C326" s="64" t="s">
        <v>862</v>
      </c>
      <c r="D326" s="68" t="s">
        <v>238</v>
      </c>
      <c r="E326" s="64" t="s">
        <v>1771</v>
      </c>
      <c r="F326" s="64" t="s">
        <v>1772</v>
      </c>
      <c r="G326" s="64" t="s">
        <v>23</v>
      </c>
      <c r="H326" s="65">
        <v>755</v>
      </c>
      <c r="I326" s="66"/>
      <c r="J326" s="67" t="s">
        <v>1773</v>
      </c>
      <c r="K326" s="67">
        <v>2642.5</v>
      </c>
      <c r="L326" s="68" t="s">
        <v>31</v>
      </c>
      <c r="M326" s="68" t="s">
        <v>241</v>
      </c>
      <c r="N326" s="68" t="s">
        <v>23</v>
      </c>
      <c r="O326" s="68" t="s">
        <v>241</v>
      </c>
      <c r="P326" s="68" t="s">
        <v>23</v>
      </c>
    </row>
    <row r="327" spans="1:16">
      <c r="A327" s="64" t="s">
        <v>1774</v>
      </c>
      <c r="B327" s="64" t="s">
        <v>17</v>
      </c>
      <c r="C327" s="64" t="s">
        <v>862</v>
      </c>
      <c r="D327" s="68" t="s">
        <v>238</v>
      </c>
      <c r="E327" s="64" t="s">
        <v>1775</v>
      </c>
      <c r="F327" s="64" t="s">
        <v>1776</v>
      </c>
      <c r="G327" s="64" t="s">
        <v>23</v>
      </c>
      <c r="H327" s="65">
        <v>35</v>
      </c>
      <c r="I327" s="66"/>
      <c r="J327" s="67" t="s">
        <v>1777</v>
      </c>
      <c r="K327" s="67">
        <v>147</v>
      </c>
      <c r="L327" s="68" t="s">
        <v>31</v>
      </c>
      <c r="M327" s="68" t="s">
        <v>241</v>
      </c>
      <c r="N327" s="68" t="s">
        <v>23</v>
      </c>
      <c r="O327" s="68" t="s">
        <v>241</v>
      </c>
      <c r="P327" s="68" t="s">
        <v>23</v>
      </c>
    </row>
    <row r="328" spans="1:16">
      <c r="A328" s="64" t="s">
        <v>1778</v>
      </c>
      <c r="B328" s="64" t="s">
        <v>17</v>
      </c>
      <c r="C328" s="64" t="s">
        <v>862</v>
      </c>
      <c r="D328" s="68" t="s">
        <v>238</v>
      </c>
      <c r="E328" s="64" t="s">
        <v>1779</v>
      </c>
      <c r="F328" s="64" t="s">
        <v>1780</v>
      </c>
      <c r="G328" s="64" t="s">
        <v>23</v>
      </c>
      <c r="H328" s="65">
        <v>115</v>
      </c>
      <c r="I328" s="66"/>
      <c r="J328" s="67" t="s">
        <v>1777</v>
      </c>
      <c r="K328" s="67">
        <v>483</v>
      </c>
      <c r="L328" s="68" t="s">
        <v>31</v>
      </c>
      <c r="M328" s="68" t="s">
        <v>241</v>
      </c>
      <c r="N328" s="68" t="s">
        <v>23</v>
      </c>
      <c r="O328" s="68" t="s">
        <v>241</v>
      </c>
      <c r="P328" s="68" t="s">
        <v>23</v>
      </c>
    </row>
    <row r="329" spans="1:16">
      <c r="A329" s="64" t="s">
        <v>1781</v>
      </c>
      <c r="B329" s="64" t="s">
        <v>17</v>
      </c>
      <c r="C329" s="64" t="s">
        <v>862</v>
      </c>
      <c r="D329" s="68" t="s">
        <v>238</v>
      </c>
      <c r="E329" s="64" t="s">
        <v>1782</v>
      </c>
      <c r="F329" s="64" t="s">
        <v>1783</v>
      </c>
      <c r="G329" s="64" t="s">
        <v>23</v>
      </c>
      <c r="H329" s="65">
        <v>642</v>
      </c>
      <c r="I329" s="66"/>
      <c r="J329" s="67" t="s">
        <v>1784</v>
      </c>
      <c r="K329" s="67">
        <v>2953.2</v>
      </c>
      <c r="L329" s="68" t="s">
        <v>31</v>
      </c>
      <c r="M329" s="68" t="s">
        <v>241</v>
      </c>
      <c r="N329" s="68" t="s">
        <v>23</v>
      </c>
      <c r="O329" s="68" t="s">
        <v>241</v>
      </c>
      <c r="P329" s="68" t="s">
        <v>23</v>
      </c>
    </row>
    <row r="330" s="59" customFormat="1" spans="1:16">
      <c r="A330" s="66" t="s">
        <v>1785</v>
      </c>
      <c r="B330" s="66" t="s">
        <v>17</v>
      </c>
      <c r="C330" s="66" t="s">
        <v>867</v>
      </c>
      <c r="D330" s="67" t="s">
        <v>18</v>
      </c>
      <c r="E330" s="66" t="s">
        <v>1715</v>
      </c>
      <c r="F330" s="66" t="s">
        <v>1716</v>
      </c>
      <c r="G330" s="66" t="s">
        <v>21</v>
      </c>
      <c r="H330" s="65">
        <v>300</v>
      </c>
      <c r="I330" s="66"/>
      <c r="J330" s="67" t="s">
        <v>962</v>
      </c>
      <c r="K330" s="67">
        <v>1950</v>
      </c>
      <c r="L330" s="67" t="s">
        <v>31</v>
      </c>
      <c r="M330" s="69" t="s">
        <v>1381</v>
      </c>
      <c r="N330" s="67" t="s">
        <v>23</v>
      </c>
      <c r="O330" s="69" t="s">
        <v>1381</v>
      </c>
      <c r="P330" s="67" t="s">
        <v>21</v>
      </c>
    </row>
    <row r="331" s="59" customFormat="1" spans="1:16">
      <c r="A331" s="66" t="s">
        <v>1786</v>
      </c>
      <c r="B331" s="66" t="s">
        <v>17</v>
      </c>
      <c r="C331" s="66" t="s">
        <v>803</v>
      </c>
      <c r="D331" s="67" t="s">
        <v>18</v>
      </c>
      <c r="E331" s="66" t="s">
        <v>1787</v>
      </c>
      <c r="F331" s="66" t="s">
        <v>1788</v>
      </c>
      <c r="G331" s="66" t="s">
        <v>21</v>
      </c>
      <c r="H331" s="65">
        <v>300</v>
      </c>
      <c r="I331" s="66"/>
      <c r="J331" s="67" t="s">
        <v>1789</v>
      </c>
      <c r="K331" s="67">
        <v>4759.8</v>
      </c>
      <c r="L331" s="67" t="s">
        <v>31</v>
      </c>
      <c r="M331" s="67" t="s">
        <v>75</v>
      </c>
      <c r="N331" s="67" t="s">
        <v>23</v>
      </c>
      <c r="O331" s="67" t="s">
        <v>75</v>
      </c>
      <c r="P331" s="67" t="s">
        <v>21</v>
      </c>
    </row>
    <row r="332" spans="1:16">
      <c r="A332" s="64" t="s">
        <v>1790</v>
      </c>
      <c r="B332" s="64" t="s">
        <v>17</v>
      </c>
      <c r="C332" s="64" t="s">
        <v>794</v>
      </c>
      <c r="D332" s="64" t="s">
        <v>28</v>
      </c>
      <c r="E332" s="64" t="s">
        <v>1787</v>
      </c>
      <c r="F332" s="64" t="s">
        <v>1788</v>
      </c>
      <c r="G332" s="64" t="s">
        <v>21</v>
      </c>
      <c r="H332" s="65">
        <v>50</v>
      </c>
      <c r="I332" s="66"/>
      <c r="J332" s="67" t="s">
        <v>1789</v>
      </c>
      <c r="K332" s="67">
        <v>793.3</v>
      </c>
      <c r="L332" s="68" t="s">
        <v>31</v>
      </c>
      <c r="M332" s="68" t="s">
        <v>32</v>
      </c>
      <c r="N332" s="68" t="s">
        <v>23</v>
      </c>
      <c r="O332" s="68" t="s">
        <v>32</v>
      </c>
      <c r="P332" s="68" t="s">
        <v>23</v>
      </c>
    </row>
    <row r="333" s="59" customFormat="1" spans="1:16">
      <c r="A333" s="66" t="s">
        <v>1791</v>
      </c>
      <c r="B333" s="66" t="s">
        <v>17</v>
      </c>
      <c r="C333" s="66" t="s">
        <v>904</v>
      </c>
      <c r="D333" s="67" t="s">
        <v>18</v>
      </c>
      <c r="E333" s="66" t="s">
        <v>59</v>
      </c>
      <c r="F333" s="66" t="s">
        <v>60</v>
      </c>
      <c r="G333" s="66" t="s">
        <v>21</v>
      </c>
      <c r="H333" s="65">
        <v>400</v>
      </c>
      <c r="I333" s="66"/>
      <c r="J333" s="67" t="s">
        <v>1485</v>
      </c>
      <c r="K333" s="67">
        <v>6000</v>
      </c>
      <c r="L333" s="69" t="s">
        <v>31</v>
      </c>
      <c r="M333" s="69" t="s">
        <v>52</v>
      </c>
      <c r="N333" s="69" t="s">
        <v>23</v>
      </c>
      <c r="O333" s="69" t="s">
        <v>52</v>
      </c>
      <c r="P333" s="69" t="s">
        <v>21</v>
      </c>
    </row>
    <row r="334" s="59" customFormat="1" spans="1:16">
      <c r="A334" s="66" t="s">
        <v>1792</v>
      </c>
      <c r="B334" s="66" t="s">
        <v>17</v>
      </c>
      <c r="C334" s="66" t="s">
        <v>946</v>
      </c>
      <c r="D334" s="67" t="s">
        <v>18</v>
      </c>
      <c r="E334" s="66" t="s">
        <v>1793</v>
      </c>
      <c r="F334" s="66" t="s">
        <v>1794</v>
      </c>
      <c r="G334" s="66" t="s">
        <v>21</v>
      </c>
      <c r="H334" s="65">
        <v>300</v>
      </c>
      <c r="I334" s="66"/>
      <c r="J334" s="67" t="s">
        <v>1795</v>
      </c>
      <c r="K334" s="67">
        <v>10312.5</v>
      </c>
      <c r="L334" s="69" t="s">
        <v>31</v>
      </c>
      <c r="M334" s="69" t="s">
        <v>75</v>
      </c>
      <c r="N334" s="69" t="s">
        <v>23</v>
      </c>
      <c r="O334" s="69" t="s">
        <v>75</v>
      </c>
      <c r="P334" s="69" t="s">
        <v>21</v>
      </c>
    </row>
    <row r="335" s="59" customFormat="1" spans="1:16">
      <c r="A335" s="66" t="s">
        <v>1796</v>
      </c>
      <c r="B335" s="66" t="s">
        <v>17</v>
      </c>
      <c r="C335" s="66" t="s">
        <v>946</v>
      </c>
      <c r="D335" s="67" t="s">
        <v>18</v>
      </c>
      <c r="E335" s="66" t="s">
        <v>1797</v>
      </c>
      <c r="F335" s="66" t="s">
        <v>1798</v>
      </c>
      <c r="G335" s="66" t="s">
        <v>21</v>
      </c>
      <c r="H335" s="65">
        <v>300</v>
      </c>
      <c r="I335" s="66"/>
      <c r="J335" s="67" t="s">
        <v>1799</v>
      </c>
      <c r="K335" s="67">
        <v>11539.5</v>
      </c>
      <c r="L335" s="69" t="s">
        <v>31</v>
      </c>
      <c r="M335" s="69" t="s">
        <v>75</v>
      </c>
      <c r="N335" s="69" t="s">
        <v>23</v>
      </c>
      <c r="O335" s="69" t="s">
        <v>75</v>
      </c>
      <c r="P335" s="69" t="s">
        <v>21</v>
      </c>
    </row>
    <row r="336" spans="1:16">
      <c r="A336" s="64" t="s">
        <v>1800</v>
      </c>
      <c r="B336" s="64" t="s">
        <v>17</v>
      </c>
      <c r="C336" s="64" t="s">
        <v>794</v>
      </c>
      <c r="D336" s="64" t="s">
        <v>28</v>
      </c>
      <c r="E336" s="64" t="s">
        <v>1801</v>
      </c>
      <c r="F336" s="64" t="s">
        <v>1802</v>
      </c>
      <c r="G336" s="64" t="s">
        <v>21</v>
      </c>
      <c r="H336" s="65">
        <v>30</v>
      </c>
      <c r="I336" s="66"/>
      <c r="J336" s="67" t="s">
        <v>1803</v>
      </c>
      <c r="K336" s="67">
        <v>556.35</v>
      </c>
      <c r="L336" s="68" t="s">
        <v>31</v>
      </c>
      <c r="M336" s="68" t="s">
        <v>32</v>
      </c>
      <c r="N336" s="68" t="s">
        <v>23</v>
      </c>
      <c r="O336" s="68" t="s">
        <v>32</v>
      </c>
      <c r="P336" s="68" t="s">
        <v>23</v>
      </c>
    </row>
    <row r="337" s="59" customFormat="1" spans="1:16">
      <c r="A337" s="66" t="s">
        <v>1804</v>
      </c>
      <c r="B337" s="66" t="s">
        <v>17</v>
      </c>
      <c r="C337" s="66" t="s">
        <v>812</v>
      </c>
      <c r="D337" s="67" t="s">
        <v>18</v>
      </c>
      <c r="E337" s="66" t="s">
        <v>1801</v>
      </c>
      <c r="F337" s="66" t="s">
        <v>1802</v>
      </c>
      <c r="G337" s="66" t="s">
        <v>21</v>
      </c>
      <c r="H337" s="65">
        <v>250</v>
      </c>
      <c r="I337" s="66"/>
      <c r="J337" s="67" t="s">
        <v>1803</v>
      </c>
      <c r="K337" s="67">
        <v>4636.25</v>
      </c>
      <c r="L337" s="69" t="s">
        <v>31</v>
      </c>
      <c r="M337" s="69" t="s">
        <v>1381</v>
      </c>
      <c r="N337" s="69" t="s">
        <v>23</v>
      </c>
      <c r="O337" s="69" t="s">
        <v>1381</v>
      </c>
      <c r="P337" s="69" t="s">
        <v>21</v>
      </c>
    </row>
    <row r="338" spans="1:16">
      <c r="A338" s="64" t="s">
        <v>1805</v>
      </c>
      <c r="B338" s="64" t="s">
        <v>17</v>
      </c>
      <c r="C338" s="64" t="s">
        <v>849</v>
      </c>
      <c r="D338" s="64" t="s">
        <v>28</v>
      </c>
      <c r="E338" s="64" t="s">
        <v>1162</v>
      </c>
      <c r="F338" s="64" t="s">
        <v>1163</v>
      </c>
      <c r="G338" s="64" t="s">
        <v>23</v>
      </c>
      <c r="H338" s="65">
        <v>10</v>
      </c>
      <c r="I338" s="66"/>
      <c r="J338" s="67" t="s">
        <v>940</v>
      </c>
      <c r="K338" s="67">
        <v>90</v>
      </c>
      <c r="L338" s="68" t="s">
        <v>31</v>
      </c>
      <c r="M338" s="68" t="s">
        <v>32</v>
      </c>
      <c r="N338" s="68" t="s">
        <v>23</v>
      </c>
      <c r="O338" s="68" t="s">
        <v>32</v>
      </c>
      <c r="P338" s="68" t="s">
        <v>23</v>
      </c>
    </row>
    <row r="339" spans="1:16">
      <c r="A339" s="64" t="s">
        <v>1806</v>
      </c>
      <c r="B339" s="64" t="s">
        <v>17</v>
      </c>
      <c r="C339" s="64" t="s">
        <v>794</v>
      </c>
      <c r="D339" s="64" t="s">
        <v>28</v>
      </c>
      <c r="E339" s="64" t="s">
        <v>1807</v>
      </c>
      <c r="F339" s="64" t="s">
        <v>1808</v>
      </c>
      <c r="G339" s="64" t="s">
        <v>21</v>
      </c>
      <c r="H339" s="65">
        <v>30</v>
      </c>
      <c r="I339" s="66"/>
      <c r="J339" s="67" t="s">
        <v>1809</v>
      </c>
      <c r="K339" s="67">
        <v>975.78</v>
      </c>
      <c r="L339" s="68" t="s">
        <v>31</v>
      </c>
      <c r="M339" s="68" t="s">
        <v>32</v>
      </c>
      <c r="N339" s="68" t="s">
        <v>23</v>
      </c>
      <c r="O339" s="68" t="s">
        <v>32</v>
      </c>
      <c r="P339" s="68" t="s">
        <v>23</v>
      </c>
    </row>
    <row r="340" spans="1:16">
      <c r="A340" s="64" t="s">
        <v>1810</v>
      </c>
      <c r="B340" s="64" t="s">
        <v>17</v>
      </c>
      <c r="C340" s="64" t="s">
        <v>794</v>
      </c>
      <c r="D340" s="64" t="s">
        <v>28</v>
      </c>
      <c r="E340" s="64" t="s">
        <v>1759</v>
      </c>
      <c r="F340" s="64" t="s">
        <v>1760</v>
      </c>
      <c r="G340" s="64" t="s">
        <v>21</v>
      </c>
      <c r="H340" s="65">
        <v>30</v>
      </c>
      <c r="I340" s="66" t="s">
        <v>809</v>
      </c>
      <c r="J340" s="67" t="s">
        <v>1761</v>
      </c>
      <c r="K340" s="67">
        <v>1071.18</v>
      </c>
      <c r="L340" s="68" t="s">
        <v>31</v>
      </c>
      <c r="M340" s="68" t="s">
        <v>32</v>
      </c>
      <c r="N340" s="68" t="s">
        <v>23</v>
      </c>
      <c r="O340" s="68" t="s">
        <v>32</v>
      </c>
      <c r="P340" s="68" t="s">
        <v>23</v>
      </c>
    </row>
    <row r="341" s="59" customFormat="1" spans="1:16">
      <c r="A341" s="66" t="s">
        <v>1811</v>
      </c>
      <c r="B341" s="66" t="s">
        <v>17</v>
      </c>
      <c r="C341" s="66" t="s">
        <v>946</v>
      </c>
      <c r="D341" s="67" t="s">
        <v>18</v>
      </c>
      <c r="E341" s="66" t="s">
        <v>1812</v>
      </c>
      <c r="F341" s="66" t="s">
        <v>1813</v>
      </c>
      <c r="G341" s="66" t="s">
        <v>23</v>
      </c>
      <c r="H341" s="65">
        <v>300</v>
      </c>
      <c r="I341" s="66"/>
      <c r="J341" s="67" t="s">
        <v>1814</v>
      </c>
      <c r="K341" s="67">
        <v>2400</v>
      </c>
      <c r="L341" s="69" t="s">
        <v>22</v>
      </c>
      <c r="M341" s="67"/>
      <c r="N341" s="67"/>
      <c r="O341" s="67"/>
      <c r="P341" s="69" t="s">
        <v>21</v>
      </c>
    </row>
    <row r="342" s="59" customFormat="1" spans="1:16">
      <c r="A342" s="66" t="s">
        <v>1815</v>
      </c>
      <c r="B342" s="66" t="s">
        <v>17</v>
      </c>
      <c r="C342" s="66" t="s">
        <v>867</v>
      </c>
      <c r="D342" s="67" t="s">
        <v>18</v>
      </c>
      <c r="E342" s="66" t="s">
        <v>1816</v>
      </c>
      <c r="F342" s="66" t="s">
        <v>1817</v>
      </c>
      <c r="G342" s="66" t="s">
        <v>21</v>
      </c>
      <c r="H342" s="65">
        <v>200</v>
      </c>
      <c r="I342" s="66"/>
      <c r="J342" s="67" t="s">
        <v>1818</v>
      </c>
      <c r="K342" s="67">
        <v>4634</v>
      </c>
      <c r="L342" s="72" t="s">
        <v>31</v>
      </c>
      <c r="M342" s="72" t="s">
        <v>75</v>
      </c>
      <c r="N342" s="72" t="s">
        <v>23</v>
      </c>
      <c r="O342" s="72" t="s">
        <v>75</v>
      </c>
      <c r="P342" s="72" t="s">
        <v>21</v>
      </c>
    </row>
    <row r="343" s="59" customFormat="1" spans="1:16">
      <c r="A343" s="66" t="s">
        <v>1819</v>
      </c>
      <c r="B343" s="66" t="s">
        <v>17</v>
      </c>
      <c r="C343" s="66" t="s">
        <v>812</v>
      </c>
      <c r="D343" s="67" t="s">
        <v>18</v>
      </c>
      <c r="E343" s="66" t="s">
        <v>1820</v>
      </c>
      <c r="F343" s="66" t="s">
        <v>1821</v>
      </c>
      <c r="G343" s="66" t="s">
        <v>21</v>
      </c>
      <c r="H343" s="65">
        <v>500</v>
      </c>
      <c r="I343" s="66"/>
      <c r="J343" s="67" t="s">
        <v>1397</v>
      </c>
      <c r="K343" s="67">
        <v>12195</v>
      </c>
      <c r="L343" s="67" t="s">
        <v>31</v>
      </c>
      <c r="M343" s="69" t="s">
        <v>52</v>
      </c>
      <c r="N343" s="67" t="s">
        <v>23</v>
      </c>
      <c r="O343" s="69" t="s">
        <v>52</v>
      </c>
      <c r="P343" s="67" t="s">
        <v>21</v>
      </c>
    </row>
    <row r="344" s="59" customFormat="1" spans="1:16">
      <c r="A344" s="66" t="s">
        <v>1822</v>
      </c>
      <c r="B344" s="66" t="s">
        <v>17</v>
      </c>
      <c r="C344" s="66" t="s">
        <v>906</v>
      </c>
      <c r="D344" s="67" t="s">
        <v>18</v>
      </c>
      <c r="E344" s="66" t="s">
        <v>1807</v>
      </c>
      <c r="F344" s="66" t="s">
        <v>1808</v>
      </c>
      <c r="G344" s="66" t="s">
        <v>21</v>
      </c>
      <c r="H344" s="65">
        <v>300</v>
      </c>
      <c r="I344" s="66"/>
      <c r="J344" s="67" t="s">
        <v>1809</v>
      </c>
      <c r="K344" s="67">
        <v>9757.8</v>
      </c>
      <c r="L344" s="69" t="s">
        <v>31</v>
      </c>
      <c r="M344" s="69" t="s">
        <v>1381</v>
      </c>
      <c r="N344" s="69" t="s">
        <v>23</v>
      </c>
      <c r="O344" s="69" t="s">
        <v>1381</v>
      </c>
      <c r="P344" s="69" t="s">
        <v>21</v>
      </c>
    </row>
    <row r="345" s="59" customFormat="1" spans="1:16">
      <c r="A345" s="66" t="s">
        <v>1823</v>
      </c>
      <c r="B345" s="66" t="s">
        <v>17</v>
      </c>
      <c r="C345" s="66" t="s">
        <v>858</v>
      </c>
      <c r="D345" s="67" t="s">
        <v>18</v>
      </c>
      <c r="E345" s="66" t="s">
        <v>1824</v>
      </c>
      <c r="F345" s="66" t="s">
        <v>1825</v>
      </c>
      <c r="G345" s="66" t="s">
        <v>23</v>
      </c>
      <c r="H345" s="65">
        <v>150</v>
      </c>
      <c r="I345" s="66" t="s">
        <v>809</v>
      </c>
      <c r="J345" s="67" t="s">
        <v>1826</v>
      </c>
      <c r="K345" s="67">
        <v>10419</v>
      </c>
      <c r="L345" s="69" t="s">
        <v>31</v>
      </c>
      <c r="M345" s="69" t="s">
        <v>1381</v>
      </c>
      <c r="N345" s="69" t="s">
        <v>23</v>
      </c>
      <c r="O345" s="69" t="s">
        <v>1381</v>
      </c>
      <c r="P345" s="69" t="s">
        <v>21</v>
      </c>
    </row>
    <row r="346" s="59" customFormat="1" spans="1:16">
      <c r="A346" s="66" t="s">
        <v>1827</v>
      </c>
      <c r="B346" s="66" t="s">
        <v>17</v>
      </c>
      <c r="C346" s="66" t="s">
        <v>858</v>
      </c>
      <c r="D346" s="67" t="s">
        <v>18</v>
      </c>
      <c r="E346" s="66" t="s">
        <v>1828</v>
      </c>
      <c r="F346" s="66" t="s">
        <v>1829</v>
      </c>
      <c r="G346" s="66" t="s">
        <v>23</v>
      </c>
      <c r="H346" s="65">
        <v>400</v>
      </c>
      <c r="I346" s="66" t="s">
        <v>809</v>
      </c>
      <c r="J346" s="67" t="s">
        <v>1830</v>
      </c>
      <c r="K346" s="67">
        <v>18584</v>
      </c>
      <c r="L346" s="69" t="s">
        <v>31</v>
      </c>
      <c r="M346" s="69" t="s">
        <v>1381</v>
      </c>
      <c r="N346" s="69" t="s">
        <v>23</v>
      </c>
      <c r="O346" s="69" t="s">
        <v>1381</v>
      </c>
      <c r="P346" s="69" t="s">
        <v>21</v>
      </c>
    </row>
    <row r="347" s="59" customFormat="1" spans="1:16">
      <c r="A347" s="66" t="s">
        <v>1831</v>
      </c>
      <c r="B347" s="66" t="s">
        <v>17</v>
      </c>
      <c r="C347" s="66" t="s">
        <v>858</v>
      </c>
      <c r="D347" s="67" t="s">
        <v>18</v>
      </c>
      <c r="E347" s="66" t="s">
        <v>1832</v>
      </c>
      <c r="F347" s="66" t="s">
        <v>1833</v>
      </c>
      <c r="G347" s="66" t="s">
        <v>21</v>
      </c>
      <c r="H347" s="65">
        <v>400</v>
      </c>
      <c r="I347" s="66" t="s">
        <v>809</v>
      </c>
      <c r="J347" s="67" t="s">
        <v>1834</v>
      </c>
      <c r="K347" s="67">
        <v>9531.92</v>
      </c>
      <c r="L347" s="69" t="s">
        <v>31</v>
      </c>
      <c r="M347" s="69" t="s">
        <v>1381</v>
      </c>
      <c r="N347" s="69" t="s">
        <v>23</v>
      </c>
      <c r="O347" s="69" t="s">
        <v>1381</v>
      </c>
      <c r="P347" s="69" t="s">
        <v>21</v>
      </c>
    </row>
    <row r="348" s="59" customFormat="1" spans="1:16">
      <c r="A348" s="66" t="s">
        <v>1835</v>
      </c>
      <c r="B348" s="66" t="s">
        <v>17</v>
      </c>
      <c r="C348" s="66" t="s">
        <v>812</v>
      </c>
      <c r="D348" s="67" t="s">
        <v>18</v>
      </c>
      <c r="E348" s="66" t="s">
        <v>1836</v>
      </c>
      <c r="F348" s="66" t="s">
        <v>1837</v>
      </c>
      <c r="G348" s="66" t="s">
        <v>21</v>
      </c>
      <c r="H348" s="65">
        <v>100</v>
      </c>
      <c r="I348" s="66" t="s">
        <v>846</v>
      </c>
      <c r="J348" s="67" t="s">
        <v>1838</v>
      </c>
      <c r="K348" s="67">
        <v>4216.5</v>
      </c>
      <c r="L348" s="69" t="s">
        <v>31</v>
      </c>
      <c r="M348" s="69" t="s">
        <v>75</v>
      </c>
      <c r="N348" s="69" t="s">
        <v>23</v>
      </c>
      <c r="O348" s="69" t="s">
        <v>75</v>
      </c>
      <c r="P348" s="69" t="s">
        <v>21</v>
      </c>
    </row>
    <row r="349" s="59" customFormat="1" spans="1:16">
      <c r="A349" s="66" t="s">
        <v>1839</v>
      </c>
      <c r="B349" s="66" t="s">
        <v>17</v>
      </c>
      <c r="C349" s="66" t="s">
        <v>946</v>
      </c>
      <c r="D349" s="67" t="s">
        <v>18</v>
      </c>
      <c r="E349" s="66" t="s">
        <v>1729</v>
      </c>
      <c r="F349" s="66" t="s">
        <v>1730</v>
      </c>
      <c r="G349" s="66" t="s">
        <v>21</v>
      </c>
      <c r="H349" s="65">
        <v>300</v>
      </c>
      <c r="I349" s="66"/>
      <c r="J349" s="67" t="s">
        <v>1731</v>
      </c>
      <c r="K349" s="67">
        <v>9542.4</v>
      </c>
      <c r="L349" s="69" t="s">
        <v>31</v>
      </c>
      <c r="M349" s="72" t="s">
        <v>75</v>
      </c>
      <c r="N349" s="72" t="s">
        <v>23</v>
      </c>
      <c r="O349" s="72" t="s">
        <v>75</v>
      </c>
      <c r="P349" s="69" t="s">
        <v>23</v>
      </c>
    </row>
    <row r="350" s="59" customFormat="1" spans="1:16">
      <c r="A350" s="66" t="s">
        <v>1840</v>
      </c>
      <c r="B350" s="66" t="s">
        <v>17</v>
      </c>
      <c r="C350" s="66" t="s">
        <v>946</v>
      </c>
      <c r="D350" s="67" t="s">
        <v>18</v>
      </c>
      <c r="E350" s="66" t="s">
        <v>1841</v>
      </c>
      <c r="F350" s="66" t="s">
        <v>1842</v>
      </c>
      <c r="G350" s="66" t="s">
        <v>21</v>
      </c>
      <c r="H350" s="65">
        <v>300</v>
      </c>
      <c r="I350" s="66"/>
      <c r="J350" s="67" t="s">
        <v>1843</v>
      </c>
      <c r="K350" s="67">
        <v>12031.5</v>
      </c>
      <c r="L350" s="69" t="s">
        <v>31</v>
      </c>
      <c r="M350" s="69" t="s">
        <v>75</v>
      </c>
      <c r="N350" s="69" t="s">
        <v>23</v>
      </c>
      <c r="O350" s="69" t="s">
        <v>75</v>
      </c>
      <c r="P350" s="69" t="s">
        <v>21</v>
      </c>
    </row>
    <row r="351" spans="1:16">
      <c r="A351" s="64" t="s">
        <v>1844</v>
      </c>
      <c r="B351" s="64" t="s">
        <v>17</v>
      </c>
      <c r="C351" s="64" t="s">
        <v>862</v>
      </c>
      <c r="D351" s="68" t="s">
        <v>238</v>
      </c>
      <c r="E351" s="64" t="s">
        <v>1845</v>
      </c>
      <c r="F351" s="64" t="s">
        <v>1846</v>
      </c>
      <c r="G351" s="64" t="s">
        <v>23</v>
      </c>
      <c r="H351" s="65">
        <v>1190</v>
      </c>
      <c r="I351" s="66"/>
      <c r="J351" s="67" t="s">
        <v>1847</v>
      </c>
      <c r="K351" s="67">
        <v>8508.5</v>
      </c>
      <c r="L351" s="68" t="s">
        <v>31</v>
      </c>
      <c r="M351" s="68" t="s">
        <v>241</v>
      </c>
      <c r="N351" s="68" t="s">
        <v>23</v>
      </c>
      <c r="O351" s="68" t="s">
        <v>241</v>
      </c>
      <c r="P351" s="68" t="s">
        <v>23</v>
      </c>
    </row>
    <row r="352" spans="1:16">
      <c r="A352" s="64" t="s">
        <v>1848</v>
      </c>
      <c r="B352" s="64" t="s">
        <v>17</v>
      </c>
      <c r="C352" s="64" t="s">
        <v>862</v>
      </c>
      <c r="D352" s="68" t="s">
        <v>238</v>
      </c>
      <c r="E352" s="64" t="s">
        <v>1849</v>
      </c>
      <c r="F352" s="64" t="s">
        <v>1850</v>
      </c>
      <c r="G352" s="64" t="s">
        <v>23</v>
      </c>
      <c r="H352" s="65">
        <v>566</v>
      </c>
      <c r="I352" s="66"/>
      <c r="J352" s="67" t="s">
        <v>1851</v>
      </c>
      <c r="K352" s="67">
        <v>3650.7</v>
      </c>
      <c r="L352" s="68" t="s">
        <v>31</v>
      </c>
      <c r="M352" s="68" t="s">
        <v>241</v>
      </c>
      <c r="N352" s="68" t="s">
        <v>23</v>
      </c>
      <c r="O352" s="68" t="s">
        <v>241</v>
      </c>
      <c r="P352" s="68" t="s">
        <v>23</v>
      </c>
    </row>
    <row r="353" spans="1:16">
      <c r="A353" s="64" t="s">
        <v>1852</v>
      </c>
      <c r="B353" s="64" t="s">
        <v>17</v>
      </c>
      <c r="C353" s="64" t="s">
        <v>862</v>
      </c>
      <c r="D353" s="68" t="s">
        <v>238</v>
      </c>
      <c r="E353" s="64" t="s">
        <v>1853</v>
      </c>
      <c r="F353" s="64" t="s">
        <v>1854</v>
      </c>
      <c r="G353" s="64" t="s">
        <v>23</v>
      </c>
      <c r="H353" s="65">
        <v>659</v>
      </c>
      <c r="I353" s="66"/>
      <c r="J353" s="67" t="s">
        <v>1851</v>
      </c>
      <c r="K353" s="67">
        <v>4250.55</v>
      </c>
      <c r="L353" s="68" t="s">
        <v>31</v>
      </c>
      <c r="M353" s="68" t="s">
        <v>241</v>
      </c>
      <c r="N353" s="68" t="s">
        <v>23</v>
      </c>
      <c r="O353" s="68" t="s">
        <v>241</v>
      </c>
      <c r="P353" s="68" t="s">
        <v>23</v>
      </c>
    </row>
    <row r="354" spans="1:16">
      <c r="A354" s="64" t="s">
        <v>1855</v>
      </c>
      <c r="B354" s="64" t="s">
        <v>17</v>
      </c>
      <c r="C354" s="64" t="s">
        <v>862</v>
      </c>
      <c r="D354" s="68" t="s">
        <v>238</v>
      </c>
      <c r="E354" s="64" t="s">
        <v>1856</v>
      </c>
      <c r="F354" s="64" t="s">
        <v>1857</v>
      </c>
      <c r="G354" s="64" t="s">
        <v>23</v>
      </c>
      <c r="H354" s="65">
        <v>2681</v>
      </c>
      <c r="I354" s="66"/>
      <c r="J354" s="67" t="s">
        <v>1858</v>
      </c>
      <c r="K354" s="67">
        <v>15683.85</v>
      </c>
      <c r="L354" s="68" t="s">
        <v>31</v>
      </c>
      <c r="M354" s="68" t="s">
        <v>241</v>
      </c>
      <c r="N354" s="68" t="s">
        <v>23</v>
      </c>
      <c r="O354" s="68" t="s">
        <v>241</v>
      </c>
      <c r="P354" s="68" t="s">
        <v>23</v>
      </c>
    </row>
    <row r="355" spans="1:16">
      <c r="A355" s="64" t="s">
        <v>1859</v>
      </c>
      <c r="B355" s="64" t="s">
        <v>17</v>
      </c>
      <c r="C355" s="64" t="s">
        <v>862</v>
      </c>
      <c r="D355" s="68" t="s">
        <v>238</v>
      </c>
      <c r="E355" s="64" t="s">
        <v>1860</v>
      </c>
      <c r="F355" s="64" t="s">
        <v>1861</v>
      </c>
      <c r="G355" s="64" t="s">
        <v>23</v>
      </c>
      <c r="H355" s="65">
        <v>89</v>
      </c>
      <c r="I355" s="66"/>
      <c r="J355" s="67" t="s">
        <v>1851</v>
      </c>
      <c r="K355" s="67">
        <v>574.05</v>
      </c>
      <c r="L355" s="68" t="s">
        <v>31</v>
      </c>
      <c r="M355" s="68" t="s">
        <v>241</v>
      </c>
      <c r="N355" s="68" t="s">
        <v>23</v>
      </c>
      <c r="O355" s="68" t="s">
        <v>241</v>
      </c>
      <c r="P355" s="68" t="s">
        <v>23</v>
      </c>
    </row>
    <row r="356" s="59" customFormat="1" spans="1:16">
      <c r="A356" s="66" t="s">
        <v>1862</v>
      </c>
      <c r="B356" s="66" t="s">
        <v>17</v>
      </c>
      <c r="C356" s="66" t="s">
        <v>867</v>
      </c>
      <c r="D356" s="67" t="s">
        <v>18</v>
      </c>
      <c r="E356" s="66" t="s">
        <v>1103</v>
      </c>
      <c r="F356" s="66" t="s">
        <v>1104</v>
      </c>
      <c r="G356" s="66" t="s">
        <v>21</v>
      </c>
      <c r="H356" s="65">
        <v>350</v>
      </c>
      <c r="I356" s="66"/>
      <c r="J356" s="67" t="s">
        <v>1105</v>
      </c>
      <c r="K356" s="67">
        <v>6950.3</v>
      </c>
      <c r="L356" s="67" t="s">
        <v>31</v>
      </c>
      <c r="M356" s="69" t="s">
        <v>75</v>
      </c>
      <c r="N356" s="67" t="s">
        <v>23</v>
      </c>
      <c r="O356" s="69" t="s">
        <v>75</v>
      </c>
      <c r="P356" s="67" t="s">
        <v>21</v>
      </c>
    </row>
    <row r="357" spans="1:16">
      <c r="A357" s="64" t="s">
        <v>1863</v>
      </c>
      <c r="B357" s="64" t="s">
        <v>17</v>
      </c>
      <c r="C357" s="64" t="s">
        <v>849</v>
      </c>
      <c r="D357" s="64" t="s">
        <v>28</v>
      </c>
      <c r="E357" s="64" t="s">
        <v>1239</v>
      </c>
      <c r="F357" s="64" t="s">
        <v>1240</v>
      </c>
      <c r="G357" s="64" t="s">
        <v>21</v>
      </c>
      <c r="H357" s="65">
        <v>300</v>
      </c>
      <c r="I357" s="66"/>
      <c r="J357" s="67" t="s">
        <v>1241</v>
      </c>
      <c r="K357" s="67">
        <v>6597.6</v>
      </c>
      <c r="L357" s="68" t="s">
        <v>31</v>
      </c>
      <c r="M357" s="68" t="s">
        <v>32</v>
      </c>
      <c r="N357" s="68" t="s">
        <v>23</v>
      </c>
      <c r="O357" s="68" t="s">
        <v>32</v>
      </c>
      <c r="P357" s="68" t="s">
        <v>23</v>
      </c>
    </row>
    <row r="358" spans="1:16">
      <c r="A358" s="64" t="s">
        <v>1864</v>
      </c>
      <c r="B358" s="64" t="s">
        <v>17</v>
      </c>
      <c r="C358" s="64" t="s">
        <v>849</v>
      </c>
      <c r="D358" s="64" t="s">
        <v>28</v>
      </c>
      <c r="E358" s="64" t="s">
        <v>1235</v>
      </c>
      <c r="F358" s="64" t="s">
        <v>1236</v>
      </c>
      <c r="G358" s="64" t="s">
        <v>21</v>
      </c>
      <c r="H358" s="65">
        <v>250</v>
      </c>
      <c r="I358" s="66" t="s">
        <v>846</v>
      </c>
      <c r="J358" s="67" t="s">
        <v>1237</v>
      </c>
      <c r="K358" s="67">
        <v>4006.25</v>
      </c>
      <c r="L358" s="68" t="s">
        <v>31</v>
      </c>
      <c r="M358" s="68" t="s">
        <v>32</v>
      </c>
      <c r="N358" s="68" t="s">
        <v>23</v>
      </c>
      <c r="O358" s="68" t="s">
        <v>32</v>
      </c>
      <c r="P358" s="68" t="s">
        <v>23</v>
      </c>
    </row>
    <row r="359" spans="1:16">
      <c r="A359" s="64" t="s">
        <v>1865</v>
      </c>
      <c r="B359" s="64" t="s">
        <v>17</v>
      </c>
      <c r="C359" s="64" t="s">
        <v>862</v>
      </c>
      <c r="D359" s="68" t="s">
        <v>238</v>
      </c>
      <c r="E359" s="64" t="s">
        <v>1849</v>
      </c>
      <c r="F359" s="64" t="s">
        <v>1850</v>
      </c>
      <c r="G359" s="64" t="s">
        <v>23</v>
      </c>
      <c r="H359" s="65">
        <v>566</v>
      </c>
      <c r="I359" s="66"/>
      <c r="J359" s="67" t="s">
        <v>1851</v>
      </c>
      <c r="K359" s="67">
        <v>3650.7</v>
      </c>
      <c r="L359" s="68" t="s">
        <v>31</v>
      </c>
      <c r="M359" s="68" t="s">
        <v>241</v>
      </c>
      <c r="N359" s="68" t="s">
        <v>23</v>
      </c>
      <c r="O359" s="68" t="s">
        <v>241</v>
      </c>
      <c r="P359" s="68" t="s">
        <v>23</v>
      </c>
    </row>
    <row r="360" spans="1:16">
      <c r="A360" s="64" t="s">
        <v>1866</v>
      </c>
      <c r="B360" s="64" t="s">
        <v>17</v>
      </c>
      <c r="C360" s="64" t="s">
        <v>862</v>
      </c>
      <c r="D360" s="68" t="s">
        <v>238</v>
      </c>
      <c r="E360" s="64" t="s">
        <v>1845</v>
      </c>
      <c r="F360" s="64" t="s">
        <v>1846</v>
      </c>
      <c r="G360" s="64" t="s">
        <v>23</v>
      </c>
      <c r="H360" s="65">
        <v>1190</v>
      </c>
      <c r="I360" s="66"/>
      <c r="J360" s="67" t="s">
        <v>1847</v>
      </c>
      <c r="K360" s="67">
        <v>8508.5</v>
      </c>
      <c r="L360" s="68" t="s">
        <v>31</v>
      </c>
      <c r="M360" s="68" t="s">
        <v>241</v>
      </c>
      <c r="N360" s="68" t="s">
        <v>23</v>
      </c>
      <c r="O360" s="68" t="s">
        <v>241</v>
      </c>
      <c r="P360" s="68" t="s">
        <v>23</v>
      </c>
    </row>
    <row r="361" spans="1:16">
      <c r="A361" s="64" t="s">
        <v>1867</v>
      </c>
      <c r="B361" s="64" t="s">
        <v>17</v>
      </c>
      <c r="C361" s="64" t="s">
        <v>862</v>
      </c>
      <c r="D361" s="68" t="s">
        <v>238</v>
      </c>
      <c r="E361" s="64" t="s">
        <v>1853</v>
      </c>
      <c r="F361" s="64" t="s">
        <v>1854</v>
      </c>
      <c r="G361" s="64" t="s">
        <v>23</v>
      </c>
      <c r="H361" s="65">
        <v>659</v>
      </c>
      <c r="I361" s="66"/>
      <c r="J361" s="67" t="s">
        <v>1851</v>
      </c>
      <c r="K361" s="67">
        <v>4250.55</v>
      </c>
      <c r="L361" s="68" t="s">
        <v>31</v>
      </c>
      <c r="M361" s="68" t="s">
        <v>241</v>
      </c>
      <c r="N361" s="68" t="s">
        <v>23</v>
      </c>
      <c r="O361" s="68" t="s">
        <v>241</v>
      </c>
      <c r="P361" s="68" t="s">
        <v>23</v>
      </c>
    </row>
    <row r="362" spans="1:16">
      <c r="A362" s="64" t="s">
        <v>1868</v>
      </c>
      <c r="B362" s="64" t="s">
        <v>17</v>
      </c>
      <c r="C362" s="64" t="s">
        <v>862</v>
      </c>
      <c r="D362" s="68" t="s">
        <v>238</v>
      </c>
      <c r="E362" s="64" t="s">
        <v>1856</v>
      </c>
      <c r="F362" s="64" t="s">
        <v>1857</v>
      </c>
      <c r="G362" s="64" t="s">
        <v>23</v>
      </c>
      <c r="H362" s="65">
        <v>2681</v>
      </c>
      <c r="I362" s="66"/>
      <c r="J362" s="67" t="s">
        <v>1858</v>
      </c>
      <c r="K362" s="67">
        <v>15683.85</v>
      </c>
      <c r="L362" s="68" t="s">
        <v>31</v>
      </c>
      <c r="M362" s="68" t="s">
        <v>241</v>
      </c>
      <c r="N362" s="68" t="s">
        <v>23</v>
      </c>
      <c r="O362" s="68" t="s">
        <v>241</v>
      </c>
      <c r="P362" s="68" t="s">
        <v>23</v>
      </c>
    </row>
    <row r="363" spans="1:16">
      <c r="A363" s="64" t="s">
        <v>1869</v>
      </c>
      <c r="B363" s="64" t="s">
        <v>17</v>
      </c>
      <c r="C363" s="64" t="s">
        <v>862</v>
      </c>
      <c r="D363" s="68" t="s">
        <v>238</v>
      </c>
      <c r="E363" s="64" t="s">
        <v>1860</v>
      </c>
      <c r="F363" s="64" t="s">
        <v>1861</v>
      </c>
      <c r="G363" s="64" t="s">
        <v>23</v>
      </c>
      <c r="H363" s="65">
        <v>89</v>
      </c>
      <c r="I363" s="66"/>
      <c r="J363" s="67" t="s">
        <v>1851</v>
      </c>
      <c r="K363" s="67">
        <v>574.05</v>
      </c>
      <c r="L363" s="68" t="s">
        <v>31</v>
      </c>
      <c r="M363" s="68" t="s">
        <v>241</v>
      </c>
      <c r="N363" s="68" t="s">
        <v>23</v>
      </c>
      <c r="O363" s="68" t="s">
        <v>241</v>
      </c>
      <c r="P363" s="68" t="s">
        <v>23</v>
      </c>
    </row>
    <row r="364" s="59" customFormat="1" spans="1:16">
      <c r="A364" s="66" t="s">
        <v>1870</v>
      </c>
      <c r="B364" s="66" t="s">
        <v>17</v>
      </c>
      <c r="C364" s="66" t="s">
        <v>904</v>
      </c>
      <c r="D364" s="67" t="s">
        <v>18</v>
      </c>
      <c r="E364" s="66" t="s">
        <v>1871</v>
      </c>
      <c r="F364" s="66" t="s">
        <v>1872</v>
      </c>
      <c r="G364" s="66" t="s">
        <v>21</v>
      </c>
      <c r="H364" s="65">
        <v>360</v>
      </c>
      <c r="I364" s="66"/>
      <c r="J364" s="67" t="s">
        <v>1873</v>
      </c>
      <c r="K364" s="67">
        <v>9293.4</v>
      </c>
      <c r="L364" s="67" t="s">
        <v>31</v>
      </c>
      <c r="M364" s="69" t="s">
        <v>52</v>
      </c>
      <c r="N364" s="67" t="s">
        <v>23</v>
      </c>
      <c r="O364" s="69" t="s">
        <v>52</v>
      </c>
      <c r="P364" s="67" t="s">
        <v>21</v>
      </c>
    </row>
    <row r="365" spans="1:16">
      <c r="A365" s="64" t="s">
        <v>1874</v>
      </c>
      <c r="B365" s="64" t="s">
        <v>17</v>
      </c>
      <c r="C365" s="64" t="s">
        <v>862</v>
      </c>
      <c r="D365" s="68" t="s">
        <v>238</v>
      </c>
      <c r="E365" s="64" t="s">
        <v>1849</v>
      </c>
      <c r="F365" s="64" t="s">
        <v>1850</v>
      </c>
      <c r="G365" s="64" t="s">
        <v>23</v>
      </c>
      <c r="H365" s="65">
        <v>254</v>
      </c>
      <c r="I365" s="66"/>
      <c r="J365" s="67" t="s">
        <v>1851</v>
      </c>
      <c r="K365" s="67">
        <v>1638.3</v>
      </c>
      <c r="L365" s="68" t="s">
        <v>31</v>
      </c>
      <c r="M365" s="68" t="s">
        <v>241</v>
      </c>
      <c r="N365" s="68" t="s">
        <v>23</v>
      </c>
      <c r="O365" s="68" t="s">
        <v>241</v>
      </c>
      <c r="P365" s="68" t="s">
        <v>23</v>
      </c>
    </row>
    <row r="366" spans="1:16">
      <c r="A366" s="64" t="s">
        <v>1875</v>
      </c>
      <c r="B366" s="64" t="s">
        <v>17</v>
      </c>
      <c r="C366" s="64" t="s">
        <v>862</v>
      </c>
      <c r="D366" s="68" t="s">
        <v>238</v>
      </c>
      <c r="E366" s="64" t="s">
        <v>1853</v>
      </c>
      <c r="F366" s="64" t="s">
        <v>1854</v>
      </c>
      <c r="G366" s="64" t="s">
        <v>23</v>
      </c>
      <c r="H366" s="65">
        <v>304</v>
      </c>
      <c r="I366" s="66"/>
      <c r="J366" s="67" t="s">
        <v>1851</v>
      </c>
      <c r="K366" s="67">
        <v>1960.8</v>
      </c>
      <c r="L366" s="68" t="s">
        <v>31</v>
      </c>
      <c r="M366" s="68" t="s">
        <v>241</v>
      </c>
      <c r="N366" s="68" t="s">
        <v>23</v>
      </c>
      <c r="O366" s="68" t="s">
        <v>241</v>
      </c>
      <c r="P366" s="68" t="s">
        <v>23</v>
      </c>
    </row>
    <row r="367" spans="1:16">
      <c r="A367" s="64" t="s">
        <v>1876</v>
      </c>
      <c r="B367" s="64" t="s">
        <v>17</v>
      </c>
      <c r="C367" s="64" t="s">
        <v>862</v>
      </c>
      <c r="D367" s="68" t="s">
        <v>238</v>
      </c>
      <c r="E367" s="64" t="s">
        <v>1845</v>
      </c>
      <c r="F367" s="64" t="s">
        <v>1846</v>
      </c>
      <c r="G367" s="64" t="s">
        <v>23</v>
      </c>
      <c r="H367" s="65">
        <v>618</v>
      </c>
      <c r="I367" s="66"/>
      <c r="J367" s="67" t="s">
        <v>1847</v>
      </c>
      <c r="K367" s="67">
        <v>4418.7</v>
      </c>
      <c r="L367" s="68" t="s">
        <v>31</v>
      </c>
      <c r="M367" s="68" t="s">
        <v>241</v>
      </c>
      <c r="N367" s="68" t="s">
        <v>23</v>
      </c>
      <c r="O367" s="68" t="s">
        <v>241</v>
      </c>
      <c r="P367" s="68" t="s">
        <v>23</v>
      </c>
    </row>
    <row r="368" spans="1:16">
      <c r="A368" s="64" t="s">
        <v>1877</v>
      </c>
      <c r="B368" s="64" t="s">
        <v>17</v>
      </c>
      <c r="C368" s="64" t="s">
        <v>862</v>
      </c>
      <c r="D368" s="68" t="s">
        <v>238</v>
      </c>
      <c r="E368" s="64" t="s">
        <v>1856</v>
      </c>
      <c r="F368" s="64" t="s">
        <v>1857</v>
      </c>
      <c r="G368" s="64" t="s">
        <v>23</v>
      </c>
      <c r="H368" s="65">
        <v>1141</v>
      </c>
      <c r="I368" s="66"/>
      <c r="J368" s="67" t="s">
        <v>1858</v>
      </c>
      <c r="K368" s="67">
        <v>6674.85</v>
      </c>
      <c r="L368" s="68" t="s">
        <v>31</v>
      </c>
      <c r="M368" s="68" t="s">
        <v>241</v>
      </c>
      <c r="N368" s="68" t="s">
        <v>23</v>
      </c>
      <c r="O368" s="68" t="s">
        <v>241</v>
      </c>
      <c r="P368" s="68" t="s">
        <v>23</v>
      </c>
    </row>
    <row r="369" spans="1:16">
      <c r="A369" s="64" t="s">
        <v>1878</v>
      </c>
      <c r="B369" s="64" t="s">
        <v>17</v>
      </c>
      <c r="C369" s="64" t="s">
        <v>862</v>
      </c>
      <c r="D369" s="68" t="s">
        <v>238</v>
      </c>
      <c r="E369" s="64" t="s">
        <v>1860</v>
      </c>
      <c r="F369" s="64" t="s">
        <v>1861</v>
      </c>
      <c r="G369" s="64" t="s">
        <v>23</v>
      </c>
      <c r="H369" s="65">
        <v>46</v>
      </c>
      <c r="I369" s="66"/>
      <c r="J369" s="67" t="s">
        <v>1851</v>
      </c>
      <c r="K369" s="67">
        <v>296.7</v>
      </c>
      <c r="L369" s="68" t="s">
        <v>31</v>
      </c>
      <c r="M369" s="68" t="s">
        <v>241</v>
      </c>
      <c r="N369" s="68" t="s">
        <v>23</v>
      </c>
      <c r="O369" s="68" t="s">
        <v>241</v>
      </c>
      <c r="P369" s="68" t="s">
        <v>23</v>
      </c>
    </row>
    <row r="370" s="59" customFormat="1" spans="1:16">
      <c r="A370" s="66" t="s">
        <v>1879</v>
      </c>
      <c r="B370" s="66" t="s">
        <v>17</v>
      </c>
      <c r="C370" s="66" t="s">
        <v>906</v>
      </c>
      <c r="D370" s="67" t="s">
        <v>18</v>
      </c>
      <c r="E370" s="66" t="s">
        <v>1880</v>
      </c>
      <c r="F370" s="66" t="s">
        <v>1881</v>
      </c>
      <c r="G370" s="66" t="s">
        <v>23</v>
      </c>
      <c r="H370" s="65">
        <v>150</v>
      </c>
      <c r="I370" s="66"/>
      <c r="J370" s="67" t="s">
        <v>1882</v>
      </c>
      <c r="K370" s="67">
        <v>6450</v>
      </c>
      <c r="L370" s="69" t="s">
        <v>22</v>
      </c>
      <c r="M370" s="67"/>
      <c r="N370" s="67"/>
      <c r="O370" s="67"/>
      <c r="P370" s="69" t="s">
        <v>21</v>
      </c>
    </row>
    <row r="371" s="59" customFormat="1" spans="1:16">
      <c r="A371" s="66" t="s">
        <v>1883</v>
      </c>
      <c r="B371" s="66" t="s">
        <v>17</v>
      </c>
      <c r="C371" s="66" t="s">
        <v>812</v>
      </c>
      <c r="D371" s="67" t="s">
        <v>18</v>
      </c>
      <c r="E371" s="66" t="s">
        <v>1884</v>
      </c>
      <c r="F371" s="66" t="s">
        <v>1885</v>
      </c>
      <c r="G371" s="66" t="s">
        <v>21</v>
      </c>
      <c r="H371" s="65">
        <v>312</v>
      </c>
      <c r="I371" s="66"/>
      <c r="J371" s="67" t="s">
        <v>1886</v>
      </c>
      <c r="K371" s="67">
        <v>6651.84</v>
      </c>
      <c r="L371" s="69" t="s">
        <v>31</v>
      </c>
      <c r="M371" s="72" t="s">
        <v>75</v>
      </c>
      <c r="N371" s="72" t="s">
        <v>23</v>
      </c>
      <c r="O371" s="72" t="s">
        <v>75</v>
      </c>
      <c r="P371" s="69" t="s">
        <v>21</v>
      </c>
    </row>
    <row r="372" s="59" customFormat="1" spans="1:16">
      <c r="A372" s="66" t="s">
        <v>1887</v>
      </c>
      <c r="B372" s="66" t="s">
        <v>49</v>
      </c>
      <c r="C372" s="66" t="s">
        <v>904</v>
      </c>
      <c r="D372" s="67" t="s">
        <v>18</v>
      </c>
      <c r="E372" s="66" t="s">
        <v>1718</v>
      </c>
      <c r="F372" s="66" t="s">
        <v>1719</v>
      </c>
      <c r="G372" s="66" t="s">
        <v>21</v>
      </c>
      <c r="H372" s="65">
        <v>300</v>
      </c>
      <c r="I372" s="66"/>
      <c r="J372" s="67" t="s">
        <v>1720</v>
      </c>
      <c r="K372" s="67">
        <v>5942.4</v>
      </c>
      <c r="L372" s="67" t="s">
        <v>31</v>
      </c>
      <c r="M372" s="69" t="s">
        <v>75</v>
      </c>
      <c r="N372" s="67" t="s">
        <v>23</v>
      </c>
      <c r="O372" s="69" t="s">
        <v>75</v>
      </c>
      <c r="P372" s="67" t="s">
        <v>21</v>
      </c>
    </row>
    <row r="373" s="59" customFormat="1" spans="1:16">
      <c r="A373" s="66" t="s">
        <v>1888</v>
      </c>
      <c r="B373" s="66" t="s">
        <v>49</v>
      </c>
      <c r="C373" s="66" t="s">
        <v>904</v>
      </c>
      <c r="D373" s="67" t="s">
        <v>18</v>
      </c>
      <c r="E373" s="66" t="s">
        <v>1722</v>
      </c>
      <c r="F373" s="66" t="s">
        <v>1723</v>
      </c>
      <c r="G373" s="66" t="s">
        <v>21</v>
      </c>
      <c r="H373" s="65">
        <v>300</v>
      </c>
      <c r="I373" s="66"/>
      <c r="J373" s="67" t="s">
        <v>1720</v>
      </c>
      <c r="K373" s="67">
        <v>5942.4</v>
      </c>
      <c r="L373" s="67" t="s">
        <v>31</v>
      </c>
      <c r="M373" s="69" t="s">
        <v>75</v>
      </c>
      <c r="N373" s="67" t="s">
        <v>23</v>
      </c>
      <c r="O373" s="69" t="s">
        <v>75</v>
      </c>
      <c r="P373" s="67" t="s">
        <v>21</v>
      </c>
    </row>
    <row r="374" s="59" customFormat="1" spans="1:16">
      <c r="A374" s="66" t="s">
        <v>1889</v>
      </c>
      <c r="B374" s="66" t="s">
        <v>17</v>
      </c>
      <c r="C374" s="66" t="s">
        <v>904</v>
      </c>
      <c r="D374" s="67" t="s">
        <v>18</v>
      </c>
      <c r="E374" s="66" t="s">
        <v>1890</v>
      </c>
      <c r="F374" s="66" t="s">
        <v>341</v>
      </c>
      <c r="G374" s="66" t="s">
        <v>21</v>
      </c>
      <c r="H374" s="65">
        <v>720</v>
      </c>
      <c r="I374" s="66"/>
      <c r="J374" s="67" t="s">
        <v>1891</v>
      </c>
      <c r="K374" s="67">
        <v>19900.8</v>
      </c>
      <c r="L374" s="69" t="s">
        <v>31</v>
      </c>
      <c r="M374" s="69" t="s">
        <v>52</v>
      </c>
      <c r="N374" s="69" t="s">
        <v>23</v>
      </c>
      <c r="O374" s="69" t="s">
        <v>52</v>
      </c>
      <c r="P374" s="69" t="s">
        <v>21</v>
      </c>
    </row>
    <row r="375" s="59" customFormat="1" spans="1:16">
      <c r="A375" s="66" t="s">
        <v>1892</v>
      </c>
      <c r="B375" s="66" t="s">
        <v>17</v>
      </c>
      <c r="C375" s="66" t="s">
        <v>906</v>
      </c>
      <c r="D375" s="67" t="s">
        <v>18</v>
      </c>
      <c r="E375" s="66" t="s">
        <v>1893</v>
      </c>
      <c r="F375" s="66" t="s">
        <v>1894</v>
      </c>
      <c r="G375" s="66" t="s">
        <v>21</v>
      </c>
      <c r="H375" s="65">
        <v>825</v>
      </c>
      <c r="I375" s="66"/>
      <c r="J375" s="67" t="s">
        <v>1895</v>
      </c>
      <c r="K375" s="67">
        <v>16537.125</v>
      </c>
      <c r="L375" s="69" t="s">
        <v>22</v>
      </c>
      <c r="M375" s="67"/>
      <c r="N375" s="67"/>
      <c r="O375" s="67"/>
      <c r="P375" s="67" t="s">
        <v>21</v>
      </c>
    </row>
    <row r="376" s="59" customFormat="1" spans="1:16">
      <c r="A376" s="66" t="s">
        <v>1896</v>
      </c>
      <c r="B376" s="66" t="s">
        <v>17</v>
      </c>
      <c r="C376" s="66" t="s">
        <v>906</v>
      </c>
      <c r="D376" s="67" t="s">
        <v>18</v>
      </c>
      <c r="E376" s="66" t="s">
        <v>1136</v>
      </c>
      <c r="F376" s="66" t="s">
        <v>1137</v>
      </c>
      <c r="G376" s="66" t="s">
        <v>21</v>
      </c>
      <c r="H376" s="65">
        <v>118</v>
      </c>
      <c r="I376" s="66"/>
      <c r="J376" s="67" t="s">
        <v>1138</v>
      </c>
      <c r="K376" s="67">
        <v>2117.51</v>
      </c>
      <c r="L376" s="69" t="s">
        <v>22</v>
      </c>
      <c r="M376" s="67"/>
      <c r="N376" s="67"/>
      <c r="O376" s="67"/>
      <c r="P376" s="69" t="s">
        <v>23</v>
      </c>
    </row>
    <row r="377" s="59" customFormat="1" spans="1:16">
      <c r="A377" s="66" t="s">
        <v>1896</v>
      </c>
      <c r="B377" s="66" t="s">
        <v>17</v>
      </c>
      <c r="C377" s="66" t="s">
        <v>906</v>
      </c>
      <c r="D377" s="67" t="s">
        <v>18</v>
      </c>
      <c r="E377" s="66" t="s">
        <v>1136</v>
      </c>
      <c r="F377" s="66" t="s">
        <v>1137</v>
      </c>
      <c r="G377" s="66" t="s">
        <v>21</v>
      </c>
      <c r="H377" s="65">
        <v>236</v>
      </c>
      <c r="I377" s="66"/>
      <c r="J377" s="67" t="s">
        <v>1138</v>
      </c>
      <c r="K377" s="67">
        <v>4235.02</v>
      </c>
      <c r="L377" s="69" t="s">
        <v>22</v>
      </c>
      <c r="M377" s="67"/>
      <c r="N377" s="67"/>
      <c r="O377" s="67"/>
      <c r="P377" s="67" t="s">
        <v>21</v>
      </c>
    </row>
    <row r="378" s="59" customFormat="1" spans="1:16">
      <c r="A378" s="66" t="s">
        <v>1897</v>
      </c>
      <c r="B378" s="66" t="s">
        <v>17</v>
      </c>
      <c r="C378" s="66" t="s">
        <v>906</v>
      </c>
      <c r="D378" s="67" t="s">
        <v>18</v>
      </c>
      <c r="E378" s="66" t="s">
        <v>1620</v>
      </c>
      <c r="F378" s="66" t="s">
        <v>1621</v>
      </c>
      <c r="G378" s="66" t="s">
        <v>21</v>
      </c>
      <c r="H378" s="65">
        <v>200</v>
      </c>
      <c r="I378" s="66"/>
      <c r="J378" s="67" t="s">
        <v>884</v>
      </c>
      <c r="K378" s="67">
        <v>3492</v>
      </c>
      <c r="L378" s="69" t="s">
        <v>22</v>
      </c>
      <c r="M378" s="67"/>
      <c r="N378" s="67"/>
      <c r="O378" s="67"/>
      <c r="P378" s="67" t="s">
        <v>21</v>
      </c>
    </row>
    <row r="379" s="59" customFormat="1" spans="1:16">
      <c r="A379" s="66" t="s">
        <v>1898</v>
      </c>
      <c r="B379" s="66" t="s">
        <v>17</v>
      </c>
      <c r="C379" s="66" t="s">
        <v>906</v>
      </c>
      <c r="D379" s="67" t="s">
        <v>18</v>
      </c>
      <c r="E379" s="66" t="s">
        <v>1899</v>
      </c>
      <c r="F379" s="66" t="s">
        <v>1900</v>
      </c>
      <c r="G379" s="66" t="s">
        <v>21</v>
      </c>
      <c r="H379" s="65">
        <v>500</v>
      </c>
      <c r="I379" s="66"/>
      <c r="J379" s="67" t="s">
        <v>992</v>
      </c>
      <c r="K379" s="67">
        <v>6022.5</v>
      </c>
      <c r="L379" s="69" t="s">
        <v>22</v>
      </c>
      <c r="M379" s="67"/>
      <c r="N379" s="67"/>
      <c r="O379" s="67"/>
      <c r="P379" s="67" t="s">
        <v>21</v>
      </c>
    </row>
    <row r="380" s="59" customFormat="1" spans="1:16">
      <c r="A380" s="66" t="s">
        <v>1901</v>
      </c>
      <c r="B380" s="66" t="s">
        <v>17</v>
      </c>
      <c r="C380" s="66" t="s">
        <v>906</v>
      </c>
      <c r="D380" s="67" t="s">
        <v>18</v>
      </c>
      <c r="E380" s="66" t="s">
        <v>886</v>
      </c>
      <c r="F380" s="66" t="s">
        <v>887</v>
      </c>
      <c r="G380" s="66" t="s">
        <v>21</v>
      </c>
      <c r="H380" s="65">
        <v>390</v>
      </c>
      <c r="I380" s="66"/>
      <c r="J380" s="67" t="s">
        <v>888</v>
      </c>
      <c r="K380" s="67">
        <v>6614.4</v>
      </c>
      <c r="L380" s="69" t="s">
        <v>22</v>
      </c>
      <c r="M380" s="67"/>
      <c r="N380" s="67"/>
      <c r="O380" s="67"/>
      <c r="P380" s="67" t="s">
        <v>21</v>
      </c>
    </row>
    <row r="381" s="59" customFormat="1" spans="1:16">
      <c r="A381" s="66" t="s">
        <v>1901</v>
      </c>
      <c r="B381" s="66" t="s">
        <v>17</v>
      </c>
      <c r="C381" s="66" t="s">
        <v>906</v>
      </c>
      <c r="D381" s="67" t="s">
        <v>18</v>
      </c>
      <c r="E381" s="66" t="s">
        <v>886</v>
      </c>
      <c r="F381" s="66" t="s">
        <v>887</v>
      </c>
      <c r="G381" s="66" t="s">
        <v>21</v>
      </c>
      <c r="H381" s="65">
        <v>150</v>
      </c>
      <c r="I381" s="66"/>
      <c r="J381" s="67" t="s">
        <v>888</v>
      </c>
      <c r="K381" s="67">
        <v>2544</v>
      </c>
      <c r="L381" s="69" t="s">
        <v>22</v>
      </c>
      <c r="M381" s="67"/>
      <c r="N381" s="67"/>
      <c r="O381" s="67"/>
      <c r="P381" s="69" t="s">
        <v>23</v>
      </c>
    </row>
    <row r="382" s="59" customFormat="1" spans="1:16">
      <c r="A382" s="66" t="s">
        <v>1902</v>
      </c>
      <c r="B382" s="66" t="s">
        <v>17</v>
      </c>
      <c r="C382" s="66" t="s">
        <v>906</v>
      </c>
      <c r="D382" s="67" t="s">
        <v>18</v>
      </c>
      <c r="E382" s="66" t="s">
        <v>882</v>
      </c>
      <c r="F382" s="66" t="s">
        <v>883</v>
      </c>
      <c r="G382" s="66" t="s">
        <v>21</v>
      </c>
      <c r="H382" s="65">
        <v>300</v>
      </c>
      <c r="I382" s="66"/>
      <c r="J382" s="67" t="s">
        <v>884</v>
      </c>
      <c r="K382" s="67">
        <v>5238</v>
      </c>
      <c r="L382" s="69" t="s">
        <v>22</v>
      </c>
      <c r="M382" s="67"/>
      <c r="N382" s="67"/>
      <c r="O382" s="67"/>
      <c r="P382" s="67" t="s">
        <v>21</v>
      </c>
    </row>
    <row r="383" s="59" customFormat="1" spans="1:16">
      <c r="A383" s="66" t="s">
        <v>1903</v>
      </c>
      <c r="B383" s="66" t="s">
        <v>17</v>
      </c>
      <c r="C383" s="66" t="s">
        <v>858</v>
      </c>
      <c r="D383" s="67" t="s">
        <v>18</v>
      </c>
      <c r="E383" s="66" t="s">
        <v>1904</v>
      </c>
      <c r="F383" s="66" t="s">
        <v>1905</v>
      </c>
      <c r="G383" s="66" t="s">
        <v>21</v>
      </c>
      <c r="H383" s="65">
        <v>200</v>
      </c>
      <c r="I383" s="66"/>
      <c r="J383" s="67" t="s">
        <v>1376</v>
      </c>
      <c r="K383" s="67">
        <v>5469</v>
      </c>
      <c r="L383" s="67" t="s">
        <v>31</v>
      </c>
      <c r="M383" s="69" t="s">
        <v>75</v>
      </c>
      <c r="N383" s="67" t="s">
        <v>23</v>
      </c>
      <c r="O383" s="69" t="s">
        <v>75</v>
      </c>
      <c r="P383" s="67" t="s">
        <v>21</v>
      </c>
    </row>
    <row r="384" spans="1:16">
      <c r="A384" s="64" t="s">
        <v>1906</v>
      </c>
      <c r="B384" s="64" t="s">
        <v>17</v>
      </c>
      <c r="C384" s="64" t="s">
        <v>862</v>
      </c>
      <c r="D384" s="68" t="s">
        <v>238</v>
      </c>
      <c r="E384" s="64" t="s">
        <v>1907</v>
      </c>
      <c r="F384" s="64" t="s">
        <v>1908</v>
      </c>
      <c r="G384" s="64" t="s">
        <v>23</v>
      </c>
      <c r="H384" s="65">
        <v>80</v>
      </c>
      <c r="I384" s="66"/>
      <c r="J384" s="67" t="s">
        <v>865</v>
      </c>
      <c r="K384" s="67">
        <v>400</v>
      </c>
      <c r="L384" s="68" t="s">
        <v>31</v>
      </c>
      <c r="M384" s="68" t="s">
        <v>241</v>
      </c>
      <c r="N384" s="68" t="s">
        <v>23</v>
      </c>
      <c r="O384" s="68" t="s">
        <v>241</v>
      </c>
      <c r="P384" s="68" t="s">
        <v>23</v>
      </c>
    </row>
    <row r="385" s="59" customFormat="1" spans="1:16">
      <c r="A385" s="66" t="s">
        <v>1909</v>
      </c>
      <c r="B385" s="66" t="s">
        <v>17</v>
      </c>
      <c r="C385" s="66" t="s">
        <v>803</v>
      </c>
      <c r="D385" s="67" t="s">
        <v>18</v>
      </c>
      <c r="E385" s="66" t="s">
        <v>1704</v>
      </c>
      <c r="F385" s="66" t="s">
        <v>1705</v>
      </c>
      <c r="G385" s="66" t="s">
        <v>21</v>
      </c>
      <c r="H385" s="65">
        <v>210</v>
      </c>
      <c r="I385" s="66"/>
      <c r="J385" s="67" t="s">
        <v>1368</v>
      </c>
      <c r="K385" s="67">
        <v>3915.45</v>
      </c>
      <c r="L385" s="69" t="s">
        <v>31</v>
      </c>
      <c r="M385" s="69" t="s">
        <v>52</v>
      </c>
      <c r="N385" s="69" t="s">
        <v>23</v>
      </c>
      <c r="O385" s="69" t="s">
        <v>52</v>
      </c>
      <c r="P385" s="69" t="s">
        <v>21</v>
      </c>
    </row>
    <row r="386" s="59" customFormat="1" spans="1:16">
      <c r="A386" s="66" t="s">
        <v>1910</v>
      </c>
      <c r="B386" s="66" t="s">
        <v>17</v>
      </c>
      <c r="C386" s="66" t="s">
        <v>946</v>
      </c>
      <c r="D386" s="67" t="s">
        <v>18</v>
      </c>
      <c r="E386" s="66" t="s">
        <v>1911</v>
      </c>
      <c r="F386" s="66" t="s">
        <v>1912</v>
      </c>
      <c r="G386" s="66" t="s">
        <v>21</v>
      </c>
      <c r="H386" s="65">
        <v>300</v>
      </c>
      <c r="I386" s="66" t="s">
        <v>809</v>
      </c>
      <c r="J386" s="67" t="s">
        <v>1913</v>
      </c>
      <c r="K386" s="67">
        <v>3886.5</v>
      </c>
      <c r="L386" s="67" t="s">
        <v>31</v>
      </c>
      <c r="M386" s="69" t="s">
        <v>52</v>
      </c>
      <c r="N386" s="67" t="s">
        <v>23</v>
      </c>
      <c r="O386" s="69" t="s">
        <v>52</v>
      </c>
      <c r="P386" s="67" t="s">
        <v>23</v>
      </c>
    </row>
    <row r="387" s="59" customFormat="1" spans="1:16">
      <c r="A387" s="66" t="s">
        <v>1914</v>
      </c>
      <c r="B387" s="66" t="s">
        <v>17</v>
      </c>
      <c r="C387" s="66" t="s">
        <v>803</v>
      </c>
      <c r="D387" s="67" t="s">
        <v>18</v>
      </c>
      <c r="E387" s="66" t="s">
        <v>1707</v>
      </c>
      <c r="F387" s="66" t="s">
        <v>1708</v>
      </c>
      <c r="G387" s="66" t="s">
        <v>21</v>
      </c>
      <c r="H387" s="65">
        <v>300</v>
      </c>
      <c r="I387" s="66"/>
      <c r="J387" s="67" t="s">
        <v>1709</v>
      </c>
      <c r="K387" s="67">
        <v>7675.5</v>
      </c>
      <c r="L387" s="69" t="s">
        <v>31</v>
      </c>
      <c r="M387" s="69" t="s">
        <v>52</v>
      </c>
      <c r="N387" s="69" t="s">
        <v>23</v>
      </c>
      <c r="O387" s="69" t="s">
        <v>52</v>
      </c>
      <c r="P387" s="69" t="s">
        <v>21</v>
      </c>
    </row>
    <row r="388" s="59" customFormat="1" spans="1:16">
      <c r="A388" s="66" t="s">
        <v>1915</v>
      </c>
      <c r="B388" s="66" t="s">
        <v>17</v>
      </c>
      <c r="C388" s="66" t="s">
        <v>803</v>
      </c>
      <c r="D388" s="67" t="s">
        <v>18</v>
      </c>
      <c r="E388" s="66" t="s">
        <v>915</v>
      </c>
      <c r="F388" s="66" t="s">
        <v>916</v>
      </c>
      <c r="G388" s="66" t="s">
        <v>21</v>
      </c>
      <c r="H388" s="65">
        <v>450</v>
      </c>
      <c r="I388" s="66"/>
      <c r="J388" s="67" t="s">
        <v>917</v>
      </c>
      <c r="K388" s="67">
        <v>8453.25</v>
      </c>
      <c r="L388" s="69" t="s">
        <v>31</v>
      </c>
      <c r="M388" s="69" t="s">
        <v>52</v>
      </c>
      <c r="N388" s="69" t="s">
        <v>23</v>
      </c>
      <c r="O388" s="69" t="s">
        <v>52</v>
      </c>
      <c r="P388" s="69" t="s">
        <v>21</v>
      </c>
    </row>
    <row r="389" s="59" customFormat="1" spans="1:16">
      <c r="A389" s="66" t="s">
        <v>1916</v>
      </c>
      <c r="B389" s="66" t="s">
        <v>17</v>
      </c>
      <c r="C389" s="66" t="s">
        <v>803</v>
      </c>
      <c r="D389" s="67" t="s">
        <v>18</v>
      </c>
      <c r="E389" s="66" t="s">
        <v>1917</v>
      </c>
      <c r="F389" s="66" t="s">
        <v>1918</v>
      </c>
      <c r="G389" s="66" t="s">
        <v>21</v>
      </c>
      <c r="H389" s="65">
        <v>200</v>
      </c>
      <c r="I389" s="66"/>
      <c r="J389" s="67" t="s">
        <v>1919</v>
      </c>
      <c r="K389" s="67">
        <v>3250</v>
      </c>
      <c r="L389" s="67" t="s">
        <v>31</v>
      </c>
      <c r="M389" s="69" t="s">
        <v>75</v>
      </c>
      <c r="N389" s="67" t="s">
        <v>23</v>
      </c>
      <c r="O389" s="69" t="s">
        <v>75</v>
      </c>
      <c r="P389" s="67" t="s">
        <v>21</v>
      </c>
    </row>
    <row r="390" s="59" customFormat="1" spans="1:16">
      <c r="A390" s="66" t="s">
        <v>1920</v>
      </c>
      <c r="B390" s="66" t="s">
        <v>17</v>
      </c>
      <c r="C390" s="66" t="s">
        <v>803</v>
      </c>
      <c r="D390" s="67" t="s">
        <v>18</v>
      </c>
      <c r="E390" s="66" t="s">
        <v>1921</v>
      </c>
      <c r="F390" s="66" t="s">
        <v>1922</v>
      </c>
      <c r="G390" s="66" t="s">
        <v>21</v>
      </c>
      <c r="H390" s="65">
        <v>301</v>
      </c>
      <c r="I390" s="66"/>
      <c r="J390" s="67" t="s">
        <v>1923</v>
      </c>
      <c r="K390" s="67">
        <v>4766.335</v>
      </c>
      <c r="L390" s="67" t="s">
        <v>31</v>
      </c>
      <c r="M390" s="69" t="s">
        <v>75</v>
      </c>
      <c r="N390" s="67" t="s">
        <v>23</v>
      </c>
      <c r="O390" s="69" t="s">
        <v>75</v>
      </c>
      <c r="P390" s="67" t="s">
        <v>21</v>
      </c>
    </row>
    <row r="391" s="59" customFormat="1" spans="1:16">
      <c r="A391" s="66" t="s">
        <v>1924</v>
      </c>
      <c r="B391" s="66" t="s">
        <v>17</v>
      </c>
      <c r="C391" s="66" t="s">
        <v>904</v>
      </c>
      <c r="D391" s="67" t="s">
        <v>18</v>
      </c>
      <c r="E391" s="66" t="s">
        <v>1194</v>
      </c>
      <c r="F391" s="66" t="s">
        <v>1195</v>
      </c>
      <c r="G391" s="66" t="s">
        <v>21</v>
      </c>
      <c r="H391" s="65">
        <v>295</v>
      </c>
      <c r="I391" s="66"/>
      <c r="J391" s="67" t="s">
        <v>1196</v>
      </c>
      <c r="K391" s="67">
        <v>5846.9</v>
      </c>
      <c r="L391" s="69" t="s">
        <v>31</v>
      </c>
      <c r="M391" s="69" t="s">
        <v>52</v>
      </c>
      <c r="N391" s="69" t="s">
        <v>23</v>
      </c>
      <c r="O391" s="69" t="s">
        <v>52</v>
      </c>
      <c r="P391" s="69" t="s">
        <v>21</v>
      </c>
    </row>
    <row r="392" s="59" customFormat="1" spans="1:16">
      <c r="A392" s="66" t="s">
        <v>1925</v>
      </c>
      <c r="B392" s="66" t="s">
        <v>17</v>
      </c>
      <c r="C392" s="66" t="s">
        <v>904</v>
      </c>
      <c r="D392" s="67" t="s">
        <v>18</v>
      </c>
      <c r="E392" s="66" t="s">
        <v>1926</v>
      </c>
      <c r="F392" s="66" t="s">
        <v>1927</v>
      </c>
      <c r="G392" s="66" t="s">
        <v>21</v>
      </c>
      <c r="H392" s="65">
        <v>312</v>
      </c>
      <c r="I392" s="66"/>
      <c r="J392" s="67" t="s">
        <v>1928</v>
      </c>
      <c r="K392" s="67">
        <v>9285.12</v>
      </c>
      <c r="L392" s="69" t="s">
        <v>31</v>
      </c>
      <c r="M392" s="69" t="s">
        <v>52</v>
      </c>
      <c r="N392" s="69" t="s">
        <v>23</v>
      </c>
      <c r="O392" s="69" t="s">
        <v>52</v>
      </c>
      <c r="P392" s="69" t="s">
        <v>21</v>
      </c>
    </row>
    <row r="393" s="59" customFormat="1" spans="1:16">
      <c r="A393" s="66" t="s">
        <v>1929</v>
      </c>
      <c r="B393" s="66" t="s">
        <v>17</v>
      </c>
      <c r="C393" s="66" t="s">
        <v>904</v>
      </c>
      <c r="D393" s="67" t="s">
        <v>18</v>
      </c>
      <c r="E393" s="66" t="s">
        <v>1930</v>
      </c>
      <c r="F393" s="66" t="s">
        <v>1931</v>
      </c>
      <c r="G393" s="66" t="s">
        <v>21</v>
      </c>
      <c r="H393" s="65">
        <v>360</v>
      </c>
      <c r="I393" s="66"/>
      <c r="J393" s="67" t="s">
        <v>1932</v>
      </c>
      <c r="K393" s="67">
        <v>9674.28</v>
      </c>
      <c r="L393" s="69" t="s">
        <v>31</v>
      </c>
      <c r="M393" s="69" t="s">
        <v>52</v>
      </c>
      <c r="N393" s="69" t="s">
        <v>23</v>
      </c>
      <c r="O393" s="69" t="s">
        <v>52</v>
      </c>
      <c r="P393" s="69" t="s">
        <v>21</v>
      </c>
    </row>
    <row r="394" spans="1:16">
      <c r="A394" s="64" t="s">
        <v>1933</v>
      </c>
      <c r="B394" s="64" t="s">
        <v>17</v>
      </c>
      <c r="C394" s="64" t="s">
        <v>794</v>
      </c>
      <c r="D394" s="64" t="s">
        <v>28</v>
      </c>
      <c r="E394" s="64" t="s">
        <v>1620</v>
      </c>
      <c r="F394" s="64" t="s">
        <v>1621</v>
      </c>
      <c r="G394" s="64" t="s">
        <v>21</v>
      </c>
      <c r="H394" s="65">
        <v>150</v>
      </c>
      <c r="I394" s="66"/>
      <c r="J394" s="67" t="s">
        <v>884</v>
      </c>
      <c r="K394" s="67">
        <v>2619</v>
      </c>
      <c r="L394" s="68" t="s">
        <v>31</v>
      </c>
      <c r="M394" s="68" t="s">
        <v>32</v>
      </c>
      <c r="N394" s="68" t="s">
        <v>23</v>
      </c>
      <c r="O394" s="68" t="s">
        <v>32</v>
      </c>
      <c r="P394" s="68" t="s">
        <v>23</v>
      </c>
    </row>
    <row r="395" spans="1:16">
      <c r="A395" s="64" t="s">
        <v>1934</v>
      </c>
      <c r="B395" s="64" t="s">
        <v>17</v>
      </c>
      <c r="C395" s="64" t="s">
        <v>794</v>
      </c>
      <c r="D395" s="64" t="s">
        <v>28</v>
      </c>
      <c r="E395" s="64" t="s">
        <v>1935</v>
      </c>
      <c r="F395" s="64" t="s">
        <v>1936</v>
      </c>
      <c r="G395" s="64" t="s">
        <v>21</v>
      </c>
      <c r="H395" s="65">
        <v>30</v>
      </c>
      <c r="I395" s="66"/>
      <c r="J395" s="67" t="s">
        <v>1937</v>
      </c>
      <c r="K395" s="67">
        <v>617.4</v>
      </c>
      <c r="L395" s="68" t="s">
        <v>31</v>
      </c>
      <c r="M395" s="68" t="s">
        <v>32</v>
      </c>
      <c r="N395" s="68" t="s">
        <v>23</v>
      </c>
      <c r="O395" s="68" t="s">
        <v>32</v>
      </c>
      <c r="P395" s="68" t="s">
        <v>23</v>
      </c>
    </row>
    <row r="396" s="59" customFormat="1" spans="1:16">
      <c r="A396" s="66" t="s">
        <v>1938</v>
      </c>
      <c r="B396" s="66" t="s">
        <v>17</v>
      </c>
      <c r="C396" s="66" t="s">
        <v>858</v>
      </c>
      <c r="D396" s="67" t="s">
        <v>18</v>
      </c>
      <c r="E396" s="66" t="s">
        <v>1935</v>
      </c>
      <c r="F396" s="66" t="s">
        <v>1936</v>
      </c>
      <c r="G396" s="66" t="s">
        <v>21</v>
      </c>
      <c r="H396" s="65">
        <v>300</v>
      </c>
      <c r="I396" s="66"/>
      <c r="J396" s="67" t="s">
        <v>1937</v>
      </c>
      <c r="K396" s="67">
        <v>6174</v>
      </c>
      <c r="L396" s="69" t="s">
        <v>31</v>
      </c>
      <c r="M396" s="72" t="s">
        <v>75</v>
      </c>
      <c r="N396" s="72" t="s">
        <v>23</v>
      </c>
      <c r="O396" s="72" t="s">
        <v>75</v>
      </c>
      <c r="P396" s="69" t="s">
        <v>21</v>
      </c>
    </row>
    <row r="397" spans="1:16">
      <c r="A397" s="64" t="s">
        <v>1939</v>
      </c>
      <c r="B397" s="64" t="s">
        <v>17</v>
      </c>
      <c r="C397" s="64" t="s">
        <v>794</v>
      </c>
      <c r="D397" s="64" t="s">
        <v>28</v>
      </c>
      <c r="E397" s="64" t="s">
        <v>936</v>
      </c>
      <c r="F397" s="64" t="s">
        <v>937</v>
      </c>
      <c r="G397" s="64" t="s">
        <v>21</v>
      </c>
      <c r="H397" s="65">
        <v>200</v>
      </c>
      <c r="I397" s="66" t="s">
        <v>846</v>
      </c>
      <c r="J397" s="67" t="s">
        <v>938</v>
      </c>
      <c r="K397" s="67">
        <v>1509</v>
      </c>
      <c r="L397" s="68" t="s">
        <v>31</v>
      </c>
      <c r="M397" s="68" t="s">
        <v>32</v>
      </c>
      <c r="N397" s="68" t="s">
        <v>23</v>
      </c>
      <c r="O397" s="68" t="s">
        <v>32</v>
      </c>
      <c r="P397" s="68" t="s">
        <v>23</v>
      </c>
    </row>
    <row r="398" spans="1:16">
      <c r="A398" s="64" t="s">
        <v>1940</v>
      </c>
      <c r="B398" s="64" t="s">
        <v>17</v>
      </c>
      <c r="C398" s="64" t="s">
        <v>794</v>
      </c>
      <c r="D398" s="64" t="s">
        <v>28</v>
      </c>
      <c r="E398" s="64" t="s">
        <v>1103</v>
      </c>
      <c r="F398" s="64" t="s">
        <v>1104</v>
      </c>
      <c r="G398" s="64" t="s">
        <v>21</v>
      </c>
      <c r="H398" s="65">
        <v>250</v>
      </c>
      <c r="I398" s="66"/>
      <c r="J398" s="67" t="s">
        <v>1105</v>
      </c>
      <c r="K398" s="67">
        <v>4964.5</v>
      </c>
      <c r="L398" s="68" t="s">
        <v>31</v>
      </c>
      <c r="M398" s="68" t="s">
        <v>32</v>
      </c>
      <c r="N398" s="68" t="s">
        <v>23</v>
      </c>
      <c r="O398" s="68" t="s">
        <v>32</v>
      </c>
      <c r="P398" s="68" t="s">
        <v>23</v>
      </c>
    </row>
    <row r="399" spans="1:16">
      <c r="A399" s="64" t="s">
        <v>1941</v>
      </c>
      <c r="B399" s="64" t="s">
        <v>17</v>
      </c>
      <c r="C399" s="64" t="s">
        <v>794</v>
      </c>
      <c r="D399" s="64" t="s">
        <v>28</v>
      </c>
      <c r="E399" s="64" t="s">
        <v>1942</v>
      </c>
      <c r="F399" s="64" t="s">
        <v>1943</v>
      </c>
      <c r="G399" s="64" t="s">
        <v>21</v>
      </c>
      <c r="H399" s="65">
        <v>200</v>
      </c>
      <c r="I399" s="66" t="s">
        <v>846</v>
      </c>
      <c r="J399" s="67" t="s">
        <v>1944</v>
      </c>
      <c r="K399" s="67">
        <v>2269</v>
      </c>
      <c r="L399" s="68" t="s">
        <v>31</v>
      </c>
      <c r="M399" s="68" t="s">
        <v>32</v>
      </c>
      <c r="N399" s="68" t="s">
        <v>23</v>
      </c>
      <c r="O399" s="68" t="s">
        <v>32</v>
      </c>
      <c r="P399" s="68" t="s">
        <v>23</v>
      </c>
    </row>
    <row r="400" spans="1:16">
      <c r="A400" s="64" t="s">
        <v>1945</v>
      </c>
      <c r="B400" s="64" t="s">
        <v>17</v>
      </c>
      <c r="C400" s="64" t="s">
        <v>794</v>
      </c>
      <c r="D400" s="64" t="s">
        <v>28</v>
      </c>
      <c r="E400" s="64" t="s">
        <v>1946</v>
      </c>
      <c r="F400" s="64" t="s">
        <v>1947</v>
      </c>
      <c r="G400" s="64" t="s">
        <v>21</v>
      </c>
      <c r="H400" s="65">
        <v>30</v>
      </c>
      <c r="I400" s="66"/>
      <c r="J400" s="67" t="s">
        <v>1948</v>
      </c>
      <c r="K400" s="67">
        <v>435.06</v>
      </c>
      <c r="L400" s="68" t="s">
        <v>31</v>
      </c>
      <c r="M400" s="68" t="s">
        <v>32</v>
      </c>
      <c r="N400" s="68" t="s">
        <v>23</v>
      </c>
      <c r="O400" s="68" t="s">
        <v>32</v>
      </c>
      <c r="P400" s="68" t="s">
        <v>23</v>
      </c>
    </row>
    <row r="401" spans="1:16">
      <c r="A401" s="64" t="s">
        <v>1949</v>
      </c>
      <c r="B401" s="64" t="s">
        <v>17</v>
      </c>
      <c r="C401" s="64" t="s">
        <v>794</v>
      </c>
      <c r="D401" s="64" t="s">
        <v>28</v>
      </c>
      <c r="E401" s="64" t="s">
        <v>1950</v>
      </c>
      <c r="F401" s="64" t="s">
        <v>118</v>
      </c>
      <c r="G401" s="64" t="s">
        <v>21</v>
      </c>
      <c r="H401" s="65">
        <v>200</v>
      </c>
      <c r="I401" s="66"/>
      <c r="J401" s="67" t="s">
        <v>1951</v>
      </c>
      <c r="K401" s="67">
        <v>5166.82</v>
      </c>
      <c r="L401" s="68" t="s">
        <v>31</v>
      </c>
      <c r="M401" s="68" t="s">
        <v>32</v>
      </c>
      <c r="N401" s="68" t="s">
        <v>23</v>
      </c>
      <c r="O401" s="68" t="s">
        <v>32</v>
      </c>
      <c r="P401" s="68" t="s">
        <v>23</v>
      </c>
    </row>
    <row r="402" spans="1:16">
      <c r="A402" s="64" t="s">
        <v>1952</v>
      </c>
      <c r="B402" s="64" t="s">
        <v>17</v>
      </c>
      <c r="C402" s="64" t="s">
        <v>794</v>
      </c>
      <c r="D402" s="64" t="s">
        <v>28</v>
      </c>
      <c r="E402" s="64" t="s">
        <v>1953</v>
      </c>
      <c r="F402" s="64" t="s">
        <v>1954</v>
      </c>
      <c r="G402" s="64" t="s">
        <v>21</v>
      </c>
      <c r="H402" s="65">
        <v>250</v>
      </c>
      <c r="I402" s="66"/>
      <c r="J402" s="67" t="s">
        <v>1955</v>
      </c>
      <c r="K402" s="67">
        <v>7015</v>
      </c>
      <c r="L402" s="68" t="s">
        <v>31</v>
      </c>
      <c r="M402" s="68" t="s">
        <v>32</v>
      </c>
      <c r="N402" s="68" t="s">
        <v>23</v>
      </c>
      <c r="O402" s="68" t="s">
        <v>32</v>
      </c>
      <c r="P402" s="68" t="s">
        <v>23</v>
      </c>
    </row>
    <row r="403" spans="1:16">
      <c r="A403" s="66" t="s">
        <v>1307</v>
      </c>
      <c r="B403" s="66" t="s">
        <v>17</v>
      </c>
      <c r="C403" s="66" t="s">
        <v>867</v>
      </c>
      <c r="D403" s="66" t="s">
        <v>18</v>
      </c>
      <c r="E403" s="66" t="s">
        <v>1308</v>
      </c>
      <c r="F403" s="66" t="s">
        <v>1309</v>
      </c>
      <c r="G403" s="66" t="s">
        <v>21</v>
      </c>
      <c r="H403" s="66">
        <v>110</v>
      </c>
      <c r="I403" s="66"/>
      <c r="J403" s="67" t="s">
        <v>1310</v>
      </c>
      <c r="K403" s="67">
        <v>1688.5</v>
      </c>
      <c r="L403" s="69" t="s">
        <v>31</v>
      </c>
      <c r="M403" s="69" t="s">
        <v>52</v>
      </c>
      <c r="N403" s="69" t="s">
        <v>23</v>
      </c>
      <c r="O403" s="67" t="s">
        <v>52</v>
      </c>
      <c r="P403" s="69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130" zoomScaleNormal="130" workbookViewId="0">
      <selection activeCell="B25" sqref="B25"/>
    </sheetView>
  </sheetViews>
  <sheetFormatPr defaultColWidth="9" defaultRowHeight="13.5" outlineLevelCol="7"/>
  <cols>
    <col min="2" max="8" width="15.5" style="1" customWidth="1"/>
  </cols>
  <sheetData>
    <row r="1" ht="15" customHeight="1" spans="1:8">
      <c r="A1" s="48" t="s">
        <v>1956</v>
      </c>
      <c r="B1" s="49" t="s">
        <v>11</v>
      </c>
      <c r="C1" s="49" t="s">
        <v>1957</v>
      </c>
      <c r="D1" s="49" t="s">
        <v>1958</v>
      </c>
      <c r="E1" s="49" t="s">
        <v>1959</v>
      </c>
      <c r="F1" s="49" t="s">
        <v>1960</v>
      </c>
      <c r="G1" s="49" t="s">
        <v>1961</v>
      </c>
      <c r="H1" s="49" t="s">
        <v>1962</v>
      </c>
    </row>
    <row r="2" ht="16.5" customHeight="1" spans="1:8">
      <c r="A2" s="50">
        <v>1</v>
      </c>
      <c r="B2" s="51" t="s">
        <v>31</v>
      </c>
      <c r="C2" s="39">
        <v>58163</v>
      </c>
      <c r="D2" s="44">
        <f>C2/$E$2</f>
        <v>0.726964803519648</v>
      </c>
      <c r="E2" s="39">
        <f>C2+C3</f>
        <v>80008</v>
      </c>
      <c r="F2" s="39">
        <v>1231623.4116</v>
      </c>
      <c r="G2" s="44">
        <f>F2/$H$2</f>
        <v>0.745961087788807</v>
      </c>
      <c r="H2" s="39">
        <f>F2+F3</f>
        <v>1651055.8416</v>
      </c>
    </row>
    <row r="3" ht="16.5" customHeight="1" spans="1:8">
      <c r="A3" s="52"/>
      <c r="B3" s="53" t="s">
        <v>22</v>
      </c>
      <c r="C3" s="54">
        <v>21845</v>
      </c>
      <c r="D3" s="55">
        <f>C3/$E$2</f>
        <v>0.273035196480352</v>
      </c>
      <c r="E3" s="56"/>
      <c r="F3" s="54">
        <v>419432.43</v>
      </c>
      <c r="G3" s="55">
        <f>F3/$H$2</f>
        <v>0.254038912211193</v>
      </c>
      <c r="H3" s="56"/>
    </row>
    <row r="4" ht="16.5" customHeight="1" spans="1:8">
      <c r="A4" s="50">
        <v>2</v>
      </c>
      <c r="B4" s="51" t="s">
        <v>31</v>
      </c>
      <c r="C4" s="39">
        <v>35169</v>
      </c>
      <c r="D4" s="44">
        <f>C4/$E$4</f>
        <v>0.715587930087289</v>
      </c>
      <c r="E4" s="39">
        <f>C4+C5</f>
        <v>49147</v>
      </c>
      <c r="F4" s="39">
        <v>789673.0055</v>
      </c>
      <c r="G4" s="44">
        <f>F4/$H$4</f>
        <v>0.73393223191192</v>
      </c>
      <c r="H4" s="39">
        <f>F4+F5</f>
        <v>1075948.1205</v>
      </c>
    </row>
    <row r="5" ht="16.5" customHeight="1" spans="1:8">
      <c r="A5" s="52"/>
      <c r="B5" s="53" t="s">
        <v>22</v>
      </c>
      <c r="C5" s="54">
        <v>13978</v>
      </c>
      <c r="D5" s="55">
        <f>C5/$E$4</f>
        <v>0.284412069912711</v>
      </c>
      <c r="E5" s="56"/>
      <c r="F5" s="54">
        <v>286275.115</v>
      </c>
      <c r="G5" s="55">
        <f>F5/$H$4</f>
        <v>0.26606776808808</v>
      </c>
      <c r="H5" s="56"/>
    </row>
    <row r="6" ht="16.5" customHeight="1" spans="1:8">
      <c r="A6" s="50">
        <v>3</v>
      </c>
      <c r="B6" s="51" t="s">
        <v>31</v>
      </c>
      <c r="C6" s="39">
        <v>50853</v>
      </c>
      <c r="D6" s="44">
        <f>C6/E6</f>
        <v>0.673023729800553</v>
      </c>
      <c r="E6" s="39">
        <f>C6+C7</f>
        <v>75559</v>
      </c>
      <c r="F6" s="39">
        <v>1272830.7735</v>
      </c>
      <c r="G6" s="44">
        <f>F6/H6</f>
        <v>0.721918339631865</v>
      </c>
      <c r="H6" s="39">
        <f>F6+F7</f>
        <v>1763122.9235</v>
      </c>
    </row>
    <row r="7" ht="16.5" customHeight="1" spans="1:8">
      <c r="A7" s="52"/>
      <c r="B7" s="53" t="s">
        <v>22</v>
      </c>
      <c r="C7" s="54">
        <v>24706</v>
      </c>
      <c r="D7" s="55">
        <f>C7/E6</f>
        <v>0.326976270199447</v>
      </c>
      <c r="E7" s="56"/>
      <c r="F7" s="54">
        <v>490292.15</v>
      </c>
      <c r="G7" s="55">
        <f>F7/H6</f>
        <v>0.278081660368135</v>
      </c>
      <c r="H7" s="56"/>
    </row>
    <row r="8" ht="16.5" customHeight="1" spans="1:8">
      <c r="A8" s="50">
        <v>4</v>
      </c>
      <c r="B8" s="51" t="s">
        <v>31</v>
      </c>
      <c r="C8" s="39">
        <v>68369</v>
      </c>
      <c r="D8" s="44">
        <f>C8/E8</f>
        <v>0.674443381243156</v>
      </c>
      <c r="E8" s="39">
        <f>C8+C9</f>
        <v>101371</v>
      </c>
      <c r="F8" s="39">
        <v>1652234.85</v>
      </c>
      <c r="G8" s="44">
        <f>F8/H8</f>
        <v>0.692991041119672</v>
      </c>
      <c r="H8" s="39">
        <f>F8+F9</f>
        <v>2384208.095</v>
      </c>
    </row>
    <row r="9" ht="16.5" customHeight="1" spans="1:8">
      <c r="A9" s="52"/>
      <c r="B9" s="53" t="s">
        <v>22</v>
      </c>
      <c r="C9" s="54">
        <v>33002</v>
      </c>
      <c r="D9" s="55">
        <f>C9/E8</f>
        <v>0.325556618756844</v>
      </c>
      <c r="E9" s="56"/>
      <c r="F9" s="54">
        <v>731973.245</v>
      </c>
      <c r="G9" s="55">
        <f>F9/H8</f>
        <v>0.307008958880328</v>
      </c>
      <c r="H9" s="56"/>
    </row>
    <row r="10" ht="16.5" spans="1:8">
      <c r="A10" s="50">
        <v>5</v>
      </c>
      <c r="B10" s="51" t="s">
        <v>31</v>
      </c>
      <c r="C10" s="39">
        <v>59541</v>
      </c>
      <c r="D10" s="45">
        <f>C10/$E$10</f>
        <v>0.74043077076131</v>
      </c>
      <c r="E10" s="57">
        <f>C10+C11</f>
        <v>80414</v>
      </c>
      <c r="F10" s="39">
        <v>1336822.78</v>
      </c>
      <c r="G10" s="45">
        <f>F10/$H$10</f>
        <v>0.79551392775476</v>
      </c>
      <c r="H10" s="57">
        <f>F10+F11</f>
        <v>1680451.76</v>
      </c>
    </row>
    <row r="11" ht="16.5" spans="1:8">
      <c r="A11" s="52"/>
      <c r="B11" s="53" t="s">
        <v>22</v>
      </c>
      <c r="C11" s="54">
        <v>20873</v>
      </c>
      <c r="D11" s="58">
        <f>C11/$E$10</f>
        <v>0.25956922923869</v>
      </c>
      <c r="E11" s="56"/>
      <c r="F11" s="54">
        <v>343628.98</v>
      </c>
      <c r="G11" s="58">
        <f>F11/$H$10</f>
        <v>0.20448607224524</v>
      </c>
      <c r="H11" s="56"/>
    </row>
  </sheetData>
  <mergeCells count="15">
    <mergeCell ref="A2:A3"/>
    <mergeCell ref="A4:A5"/>
    <mergeCell ref="A6:A7"/>
    <mergeCell ref="A8:A9"/>
    <mergeCell ref="A10:A11"/>
    <mergeCell ref="E2:E3"/>
    <mergeCell ref="E4:E5"/>
    <mergeCell ref="E6:E7"/>
    <mergeCell ref="E8:E9"/>
    <mergeCell ref="E10:E11"/>
    <mergeCell ref="H2:H3"/>
    <mergeCell ref="H4:H5"/>
    <mergeCell ref="H6:H7"/>
    <mergeCell ref="H8:H9"/>
    <mergeCell ref="H10:H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A27" sqref="A27"/>
    </sheetView>
  </sheetViews>
  <sheetFormatPr defaultColWidth="9" defaultRowHeight="13.5"/>
  <cols>
    <col min="1" max="1" width="14.75" style="1" customWidth="1"/>
    <col min="2" max="2" width="8.875" style="1" customWidth="1"/>
    <col min="3" max="3" width="13" style="1" customWidth="1"/>
    <col min="4" max="10" width="8.875" style="1" customWidth="1"/>
    <col min="11" max="11" width="13" style="1" customWidth="1"/>
    <col min="12" max="16361" width="8.875" style="1" customWidth="1"/>
  </cols>
  <sheetData>
    <row r="1" ht="16.5" customHeight="1" spans="1:11">
      <c r="A1" s="38" t="s">
        <v>1963</v>
      </c>
      <c r="B1" s="38">
        <v>25.1</v>
      </c>
      <c r="C1" s="42"/>
      <c r="D1" s="38">
        <v>25.2</v>
      </c>
      <c r="E1" s="42"/>
      <c r="F1" s="38">
        <v>25.3</v>
      </c>
      <c r="G1" s="42"/>
      <c r="H1" s="38">
        <v>25.4</v>
      </c>
      <c r="I1" s="42"/>
      <c r="J1" s="43" t="s">
        <v>1964</v>
      </c>
      <c r="K1" s="42"/>
    </row>
    <row r="2" ht="16.5" customHeight="1" spans="1:11">
      <c r="A2" s="38" t="s">
        <v>1965</v>
      </c>
      <c r="B2" s="39">
        <v>19366</v>
      </c>
      <c r="C2" s="44">
        <f>B2/B4</f>
        <v>0.923685967757321</v>
      </c>
      <c r="D2" s="39">
        <v>40003</v>
      </c>
      <c r="E2" s="44">
        <f>D2/D4</f>
        <v>0.690290072647582</v>
      </c>
      <c r="F2" s="39">
        <v>39186</v>
      </c>
      <c r="G2" s="44">
        <f>F2/F4</f>
        <v>0.600671398132961</v>
      </c>
      <c r="H2" s="39">
        <v>33027</v>
      </c>
      <c r="I2" s="44">
        <f>H2/H4</f>
        <v>0.578608969866854</v>
      </c>
      <c r="J2" s="39">
        <v>56621</v>
      </c>
      <c r="K2" s="45">
        <f>J2/J4</f>
        <v>0.879180770783516</v>
      </c>
    </row>
    <row r="3" ht="16.5" customHeight="1" spans="1:11">
      <c r="A3" s="38" t="s">
        <v>1966</v>
      </c>
      <c r="B3" s="39">
        <v>1600</v>
      </c>
      <c r="C3" s="44">
        <f>B3/B4</f>
        <v>0.0763140322426786</v>
      </c>
      <c r="D3" s="39">
        <v>17948</v>
      </c>
      <c r="E3" s="44">
        <f>D3/D4</f>
        <v>0.309709927352418</v>
      </c>
      <c r="F3" s="39">
        <v>26051</v>
      </c>
      <c r="G3" s="44">
        <f>F3/F4</f>
        <v>0.399328601867039</v>
      </c>
      <c r="H3" s="39">
        <v>24053</v>
      </c>
      <c r="I3" s="44">
        <f>H3/H4</f>
        <v>0.421391030133146</v>
      </c>
      <c r="J3" s="39">
        <v>7781</v>
      </c>
      <c r="K3" s="45">
        <f>J3/J4</f>
        <v>0.120819229216484</v>
      </c>
    </row>
    <row r="4" ht="16.5" customHeight="1" spans="1:11">
      <c r="A4" s="38" t="s">
        <v>1967</v>
      </c>
      <c r="B4" s="39">
        <f t="shared" ref="B4:J4" si="0">B2+B3</f>
        <v>20966</v>
      </c>
      <c r="C4" s="44">
        <f t="shared" si="0"/>
        <v>1</v>
      </c>
      <c r="D4" s="39">
        <f t="shared" si="0"/>
        <v>57951</v>
      </c>
      <c r="E4" s="44">
        <f t="shared" si="0"/>
        <v>1</v>
      </c>
      <c r="F4" s="39">
        <f t="shared" si="0"/>
        <v>65237</v>
      </c>
      <c r="G4" s="44">
        <f t="shared" si="0"/>
        <v>1</v>
      </c>
      <c r="H4" s="39">
        <f t="shared" si="0"/>
        <v>57080</v>
      </c>
      <c r="I4" s="44">
        <f t="shared" si="0"/>
        <v>1</v>
      </c>
      <c r="J4" s="39">
        <f t="shared" si="0"/>
        <v>64402</v>
      </c>
      <c r="K4" s="45">
        <f>J4/J4</f>
        <v>1</v>
      </c>
    </row>
    <row r="5" ht="16.5" customHeight="1" spans="1:11">
      <c r="A5" s="46"/>
      <c r="B5" s="46"/>
      <c r="C5" s="47"/>
      <c r="D5" s="46"/>
      <c r="E5" s="47"/>
      <c r="F5" s="46"/>
      <c r="G5" s="47"/>
      <c r="H5" s="46"/>
      <c r="I5" s="47"/>
    </row>
    <row r="6" spans="1:11">
      <c r="A6" s="40"/>
      <c r="B6" s="40"/>
      <c r="C6" s="40"/>
      <c r="D6" s="40"/>
      <c r="E6" s="40"/>
      <c r="F6" s="40"/>
      <c r="G6" s="40"/>
      <c r="H6" s="40"/>
      <c r="I6" s="40"/>
    </row>
    <row r="7" ht="16.5" customHeight="1" spans="1:11">
      <c r="A7" s="38" t="s">
        <v>1963</v>
      </c>
      <c r="B7" s="38">
        <v>26.1</v>
      </c>
      <c r="C7" s="42"/>
      <c r="D7" s="38">
        <v>26.2</v>
      </c>
      <c r="E7" s="42"/>
      <c r="F7" s="38">
        <v>26.3</v>
      </c>
      <c r="G7" s="42"/>
      <c r="H7" s="38">
        <v>26.4</v>
      </c>
      <c r="I7" s="42"/>
      <c r="J7" s="43" t="s">
        <v>1968</v>
      </c>
      <c r="K7" s="42"/>
    </row>
    <row r="8" ht="16.5" customHeight="1" spans="1:11">
      <c r="A8" s="38" t="s">
        <v>1965</v>
      </c>
      <c r="B8" s="39">
        <v>58163</v>
      </c>
      <c r="C8" s="44">
        <f>B8/B$10</f>
        <v>0.726964803519648</v>
      </c>
      <c r="D8" s="39">
        <v>35169</v>
      </c>
      <c r="E8" s="44">
        <f>D8/D$10</f>
        <v>0.715587930087289</v>
      </c>
      <c r="F8" s="39">
        <v>50853</v>
      </c>
      <c r="G8" s="44">
        <f>F8/F$10</f>
        <v>0.673023729800553</v>
      </c>
      <c r="H8" s="39">
        <v>68369</v>
      </c>
      <c r="I8" s="44">
        <f>H8/H$10</f>
        <v>0.674443381243156</v>
      </c>
      <c r="J8" s="39">
        <v>59541</v>
      </c>
      <c r="K8" s="45">
        <f>J8/J$10</f>
        <v>0.74043077076131</v>
      </c>
    </row>
    <row r="9" ht="16.5" customHeight="1" spans="1:11">
      <c r="A9" s="38" t="s">
        <v>1966</v>
      </c>
      <c r="B9" s="39">
        <v>21845</v>
      </c>
      <c r="C9" s="44">
        <f>B9/B$10</f>
        <v>0.273035196480352</v>
      </c>
      <c r="D9" s="39">
        <v>13978</v>
      </c>
      <c r="E9" s="44">
        <f>D9/D$10</f>
        <v>0.284412069912711</v>
      </c>
      <c r="F9" s="39">
        <v>24706</v>
      </c>
      <c r="G9" s="44">
        <f>F9/F$10</f>
        <v>0.326976270199447</v>
      </c>
      <c r="H9" s="39">
        <v>33002</v>
      </c>
      <c r="I9" s="44">
        <f>H9/H$10</f>
        <v>0.325556618756844</v>
      </c>
      <c r="J9" s="39">
        <v>20873</v>
      </c>
      <c r="K9" s="45">
        <f>J9/J$10</f>
        <v>0.25956922923869</v>
      </c>
    </row>
    <row r="10" ht="16.5" customHeight="1" spans="1:11">
      <c r="A10" s="38" t="s">
        <v>1967</v>
      </c>
      <c r="B10" s="39">
        <f>B8+B9</f>
        <v>80008</v>
      </c>
      <c r="C10" s="44">
        <f>B10/B$10</f>
        <v>1</v>
      </c>
      <c r="D10" s="39">
        <f>D8+D9</f>
        <v>49147</v>
      </c>
      <c r="E10" s="44">
        <f>D10/D$10</f>
        <v>1</v>
      </c>
      <c r="F10" s="39">
        <f>F8+F9</f>
        <v>75559</v>
      </c>
      <c r="G10" s="44">
        <f>F10/F$10</f>
        <v>1</v>
      </c>
      <c r="H10" s="39">
        <f>H8+H9</f>
        <v>101371</v>
      </c>
      <c r="I10" s="44">
        <f>H10/H$10</f>
        <v>1</v>
      </c>
      <c r="J10" s="39">
        <f>J8+J9</f>
        <v>80414</v>
      </c>
      <c r="K10" s="45">
        <f>J10/J$10</f>
        <v>1</v>
      </c>
    </row>
    <row r="11" ht="16.5" customHeight="1" spans="1:11">
      <c r="A11" s="46"/>
      <c r="B11" s="46"/>
      <c r="C11" s="47"/>
      <c r="D11" s="46"/>
      <c r="E11" s="47"/>
      <c r="F11" s="46"/>
      <c r="G11" s="47"/>
      <c r="H11" s="46"/>
      <c r="I11" s="47"/>
    </row>
    <row r="12" spans="1:11">
      <c r="A12" s="40"/>
      <c r="B12" s="40"/>
      <c r="C12" s="40"/>
      <c r="D12" s="40"/>
      <c r="E12" s="40"/>
      <c r="F12" s="40"/>
      <c r="G12" s="40"/>
      <c r="H12" s="40"/>
      <c r="I12" s="40"/>
    </row>
    <row r="13" ht="16.5" customHeight="1" spans="1:11">
      <c r="A13" s="38" t="s">
        <v>1969</v>
      </c>
      <c r="B13" s="38">
        <v>1</v>
      </c>
      <c r="C13" s="42"/>
      <c r="D13" s="38">
        <v>2</v>
      </c>
      <c r="E13" s="42"/>
      <c r="F13" s="38">
        <v>3</v>
      </c>
      <c r="G13" s="42"/>
      <c r="H13" s="38">
        <v>4</v>
      </c>
      <c r="I13" s="42"/>
      <c r="J13" s="43">
        <v>5</v>
      </c>
      <c r="K13" s="42"/>
    </row>
    <row r="14" ht="16.5" customHeight="1" spans="1:11">
      <c r="A14" s="38" t="s">
        <v>1965</v>
      </c>
      <c r="B14" s="39">
        <f t="shared" ref="B14:K14" si="1">B8-B2</f>
        <v>38797</v>
      </c>
      <c r="C14" s="44">
        <f t="shared" si="1"/>
        <v>-0.196721164237673</v>
      </c>
      <c r="D14" s="39">
        <f t="shared" si="1"/>
        <v>-4834</v>
      </c>
      <c r="E14" s="44">
        <f t="shared" si="1"/>
        <v>0.0252978574397076</v>
      </c>
      <c r="F14" s="39">
        <f t="shared" si="1"/>
        <v>11667</v>
      </c>
      <c r="G14" s="44">
        <f t="shared" si="1"/>
        <v>0.0723523316675919</v>
      </c>
      <c r="H14" s="39">
        <f t="shared" si="1"/>
        <v>35342</v>
      </c>
      <c r="I14" s="44">
        <f t="shared" si="1"/>
        <v>0.0958344113763028</v>
      </c>
      <c r="J14" s="39">
        <f t="shared" si="1"/>
        <v>2920</v>
      </c>
      <c r="K14" s="45">
        <f t="shared" si="1"/>
        <v>-0.138750000022206</v>
      </c>
    </row>
    <row r="15" ht="16.5" customHeight="1" spans="1:11">
      <c r="A15" s="38" t="s">
        <v>1966</v>
      </c>
      <c r="B15" s="39">
        <f t="shared" ref="B15:K15" si="2">B9-B3</f>
        <v>20245</v>
      </c>
      <c r="C15" s="44">
        <f t="shared" si="2"/>
        <v>0.196721164237673</v>
      </c>
      <c r="D15" s="39">
        <f t="shared" si="2"/>
        <v>-3970</v>
      </c>
      <c r="E15" s="44">
        <f t="shared" si="2"/>
        <v>-0.0252978574397076</v>
      </c>
      <c r="F15" s="39">
        <f t="shared" si="2"/>
        <v>-1345</v>
      </c>
      <c r="G15" s="44">
        <f t="shared" si="2"/>
        <v>-0.0723523316675919</v>
      </c>
      <c r="H15" s="39">
        <f t="shared" si="2"/>
        <v>8949</v>
      </c>
      <c r="I15" s="44">
        <f t="shared" si="2"/>
        <v>-0.0958344113763028</v>
      </c>
      <c r="J15" s="39">
        <f t="shared" si="2"/>
        <v>13092</v>
      </c>
      <c r="K15" s="45">
        <f t="shared" si="2"/>
        <v>0.138750000022206</v>
      </c>
    </row>
  </sheetData>
  <mergeCells count="15">
    <mergeCell ref="B1:C1"/>
    <mergeCell ref="D1:E1"/>
    <mergeCell ref="F1:G1"/>
    <mergeCell ref="H1:I1"/>
    <mergeCell ref="J1:K1"/>
    <mergeCell ref="B7:C7"/>
    <mergeCell ref="D7:E7"/>
    <mergeCell ref="F7:G7"/>
    <mergeCell ref="H7:I7"/>
    <mergeCell ref="J7:K7"/>
    <mergeCell ref="B13:C13"/>
    <mergeCell ref="D13:E13"/>
    <mergeCell ref="F13:G13"/>
    <mergeCell ref="H13:I13"/>
    <mergeCell ref="J13:K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zoomScale="145" zoomScaleNormal="145" workbookViewId="0">
      <selection activeCell="A10" sqref="A10"/>
    </sheetView>
  </sheetViews>
  <sheetFormatPr defaultColWidth="9" defaultRowHeight="13.5" outlineLevelCol="6"/>
  <cols>
    <col min="1" max="1" width="16" style="1" customWidth="1"/>
    <col min="2" max="7" width="14.125" style="1" customWidth="1"/>
  </cols>
  <sheetData>
    <row r="1" spans="1:7">
      <c r="A1" s="37" t="s">
        <v>18</v>
      </c>
    </row>
    <row r="3" ht="16.5" customHeight="1" spans="1:7">
      <c r="A3" s="38" t="s">
        <v>1963</v>
      </c>
      <c r="B3" s="38">
        <v>24.12</v>
      </c>
      <c r="C3" s="38">
        <v>25.1</v>
      </c>
      <c r="D3" s="38">
        <v>25.2</v>
      </c>
      <c r="E3" s="38">
        <v>25.3</v>
      </c>
      <c r="F3" s="38">
        <v>25.4</v>
      </c>
      <c r="G3" s="38" t="s">
        <v>1964</v>
      </c>
    </row>
    <row r="4" ht="16.5" customHeight="1" spans="1:7">
      <c r="A4" s="38" t="s">
        <v>1970</v>
      </c>
      <c r="B4" s="39">
        <v>64567</v>
      </c>
      <c r="C4" s="39">
        <v>20966</v>
      </c>
      <c r="D4" s="39">
        <v>57951</v>
      </c>
      <c r="E4" s="39">
        <v>65237</v>
      </c>
      <c r="F4" s="39">
        <v>57080</v>
      </c>
      <c r="G4" s="39">
        <v>64402</v>
      </c>
    </row>
    <row r="5" ht="16.5" customHeight="1" spans="1:7">
      <c r="A5" s="38" t="s">
        <v>1971</v>
      </c>
      <c r="B5" s="39">
        <v>1371922.65</v>
      </c>
      <c r="C5" s="39">
        <v>368428.3818</v>
      </c>
      <c r="D5" s="39">
        <v>1140745.455</v>
      </c>
      <c r="E5" s="39">
        <v>1327674.905</v>
      </c>
      <c r="F5" s="39">
        <v>1162520.722</v>
      </c>
      <c r="G5" s="39">
        <v>1266887.44</v>
      </c>
    </row>
    <row r="6" spans="1:7">
      <c r="A6" s="40"/>
      <c r="B6" s="40"/>
      <c r="C6" s="40"/>
      <c r="D6" s="40"/>
      <c r="E6" s="40"/>
      <c r="F6" s="40"/>
    </row>
    <row r="7" spans="1:7">
      <c r="A7" s="40"/>
      <c r="B7" s="40"/>
      <c r="C7" s="40"/>
      <c r="D7" s="40"/>
      <c r="E7" s="40"/>
      <c r="F7" s="40"/>
    </row>
    <row r="8" ht="16.5" customHeight="1" spans="1:7">
      <c r="A8" s="38" t="s">
        <v>1963</v>
      </c>
      <c r="B8" s="38">
        <v>25.12</v>
      </c>
      <c r="C8" s="38">
        <v>26.1</v>
      </c>
      <c r="D8" s="38">
        <v>26.2</v>
      </c>
      <c r="E8" s="38">
        <v>26.3</v>
      </c>
      <c r="F8" s="38">
        <v>26.4</v>
      </c>
      <c r="G8" s="38" t="s">
        <v>1968</v>
      </c>
    </row>
    <row r="9" ht="16.5" customHeight="1" spans="1:7">
      <c r="A9" s="38" t="s">
        <v>1970</v>
      </c>
      <c r="B9" s="39">
        <v>83742</v>
      </c>
      <c r="C9" s="39">
        <v>80008</v>
      </c>
      <c r="D9" s="39">
        <v>49147</v>
      </c>
      <c r="E9" s="39">
        <v>75559</v>
      </c>
      <c r="F9" s="39">
        <v>101371</v>
      </c>
      <c r="G9" s="39">
        <v>80414</v>
      </c>
    </row>
    <row r="10" ht="16.5" customHeight="1" spans="1:7">
      <c r="A10" s="38" t="s">
        <v>1971</v>
      </c>
      <c r="B10" s="39">
        <v>1632425.7216</v>
      </c>
      <c r="C10" s="39">
        <v>1651055.8416</v>
      </c>
      <c r="D10" s="39">
        <v>1075948.1205</v>
      </c>
      <c r="E10" s="39">
        <v>1763122.9235</v>
      </c>
      <c r="F10" s="39">
        <v>2384208.095</v>
      </c>
      <c r="G10" s="39">
        <v>1680451.76</v>
      </c>
    </row>
    <row r="11" spans="1:7">
      <c r="A11" s="40"/>
      <c r="B11" s="40"/>
      <c r="C11" s="40"/>
      <c r="D11" s="40"/>
      <c r="E11" s="40"/>
      <c r="F11" s="40"/>
    </row>
    <row r="12" spans="1:7">
      <c r="A12" s="40"/>
      <c r="B12" s="40"/>
      <c r="C12" s="40"/>
      <c r="D12" s="40"/>
      <c r="E12" s="40"/>
      <c r="F12" s="40"/>
    </row>
    <row r="13" ht="16.5" customHeight="1" spans="1:7">
      <c r="A13" s="38" t="s">
        <v>1969</v>
      </c>
      <c r="B13" s="38">
        <v>12</v>
      </c>
      <c r="C13" s="38">
        <v>1</v>
      </c>
      <c r="D13" s="38">
        <v>2</v>
      </c>
      <c r="E13" s="38">
        <v>3</v>
      </c>
      <c r="F13" s="38">
        <v>4</v>
      </c>
      <c r="G13" s="38">
        <v>5</v>
      </c>
    </row>
    <row r="14" ht="16.5" customHeight="1" spans="1:7">
      <c r="A14" s="38" t="s">
        <v>1970</v>
      </c>
      <c r="B14" s="41">
        <f>B9-B4</f>
        <v>19175</v>
      </c>
      <c r="C14" s="41">
        <f>C9-C4</f>
        <v>59042</v>
      </c>
      <c r="D14" s="41">
        <f>D9-D4</f>
        <v>-8804</v>
      </c>
      <c r="E14" s="41">
        <f>E9-E4</f>
        <v>10322</v>
      </c>
      <c r="F14" s="41">
        <f>F9-F4</f>
        <v>44291</v>
      </c>
      <c r="G14" s="41">
        <v>16012</v>
      </c>
    </row>
    <row r="15" ht="16.5" customHeight="1" spans="1:7">
      <c r="A15" s="38" t="s">
        <v>1971</v>
      </c>
      <c r="B15" s="41">
        <f>B10-B5</f>
        <v>260503.0716</v>
      </c>
      <c r="C15" s="41">
        <f>C10-C5</f>
        <v>1282627.4598</v>
      </c>
      <c r="D15" s="41">
        <f>D10-D5</f>
        <v>-64797.3345000001</v>
      </c>
      <c r="E15" s="41">
        <f>E10-E5</f>
        <v>435448.0185</v>
      </c>
      <c r="F15" s="41">
        <f>F10-F5</f>
        <v>1221687.373</v>
      </c>
      <c r="G15" s="41">
        <v>413564.32</v>
      </c>
    </row>
    <row r="18" spans="1:7">
      <c r="A18" s="37" t="s">
        <v>28</v>
      </c>
    </row>
    <row r="20" ht="16.5" customHeight="1" spans="1:7">
      <c r="A20" s="38" t="s">
        <v>1963</v>
      </c>
      <c r="B20" s="38">
        <v>24.12</v>
      </c>
      <c r="C20" s="38">
        <v>25.1</v>
      </c>
      <c r="D20" s="38">
        <v>25.2</v>
      </c>
      <c r="E20" s="38">
        <v>25.3</v>
      </c>
      <c r="F20" s="38">
        <v>25.4</v>
      </c>
      <c r="G20" s="38" t="s">
        <v>1964</v>
      </c>
    </row>
    <row r="21" ht="16.5" customHeight="1" spans="1:7">
      <c r="A21" s="38" t="s">
        <v>1970</v>
      </c>
      <c r="B21" s="39">
        <v>1511</v>
      </c>
      <c r="C21" s="39">
        <v>13922</v>
      </c>
      <c r="D21" s="39">
        <v>21575</v>
      </c>
      <c r="E21" s="39">
        <v>22746</v>
      </c>
      <c r="F21" s="39">
        <v>18251</v>
      </c>
      <c r="G21" s="39">
        <v>14458</v>
      </c>
    </row>
    <row r="22" ht="16.5" customHeight="1" spans="1:7">
      <c r="A22" s="38" t="s">
        <v>1971</v>
      </c>
      <c r="B22" s="39">
        <v>28055.45</v>
      </c>
      <c r="C22" s="39">
        <v>121331.972</v>
      </c>
      <c r="D22" s="39">
        <v>260234.981</v>
      </c>
      <c r="E22" s="39">
        <v>200497.914</v>
      </c>
      <c r="F22" s="39">
        <v>202444.586</v>
      </c>
      <c r="G22" s="39">
        <v>177855.11</v>
      </c>
    </row>
    <row r="23" spans="1:7">
      <c r="A23" s="40"/>
      <c r="B23" s="40"/>
      <c r="C23" s="40"/>
      <c r="D23" s="40"/>
      <c r="E23" s="40"/>
      <c r="F23" s="40"/>
    </row>
    <row r="24" spans="1:7">
      <c r="A24" s="40"/>
      <c r="B24" s="40"/>
      <c r="C24" s="40"/>
      <c r="D24" s="40"/>
      <c r="E24" s="40"/>
      <c r="F24" s="40"/>
    </row>
    <row r="25" ht="16.5" customHeight="1" spans="1:7">
      <c r="A25" s="38" t="s">
        <v>1963</v>
      </c>
      <c r="B25" s="38">
        <v>25.12</v>
      </c>
      <c r="C25" s="38">
        <v>26.1</v>
      </c>
      <c r="D25" s="38">
        <v>26.2</v>
      </c>
      <c r="E25" s="38">
        <v>26.3</v>
      </c>
      <c r="F25" s="38">
        <v>26.4</v>
      </c>
      <c r="G25" s="38" t="s">
        <v>1968</v>
      </c>
    </row>
    <row r="26" ht="16.5" customHeight="1" spans="1:7">
      <c r="A26" s="38" t="s">
        <v>1970</v>
      </c>
      <c r="B26" s="39">
        <v>4480</v>
      </c>
      <c r="C26" s="39">
        <v>7380</v>
      </c>
      <c r="D26" s="39">
        <v>4830</v>
      </c>
      <c r="E26" s="39">
        <v>4760</v>
      </c>
      <c r="F26" s="39">
        <v>11720</v>
      </c>
      <c r="G26" s="39">
        <v>12580</v>
      </c>
    </row>
    <row r="27" ht="16.5" customHeight="1" spans="1:7">
      <c r="A27" s="38" t="s">
        <v>1971</v>
      </c>
      <c r="B27" s="39">
        <v>87134.607</v>
      </c>
      <c r="C27" s="39">
        <v>127990.184</v>
      </c>
      <c r="D27" s="39">
        <v>85370.856</v>
      </c>
      <c r="E27" s="39">
        <v>83606.114</v>
      </c>
      <c r="F27" s="39">
        <v>216780.628</v>
      </c>
      <c r="G27" s="39">
        <v>210187.34</v>
      </c>
    </row>
    <row r="28" spans="1:7">
      <c r="A28" s="40"/>
      <c r="B28" s="40"/>
      <c r="C28" s="40"/>
      <c r="D28" s="40"/>
      <c r="E28" s="40"/>
      <c r="F28" s="40"/>
    </row>
    <row r="29" spans="1:7">
      <c r="A29" s="40"/>
      <c r="B29" s="40"/>
      <c r="C29" s="40"/>
      <c r="D29" s="40"/>
      <c r="E29" s="40"/>
      <c r="F29" s="40"/>
    </row>
    <row r="30" ht="16.5" customHeight="1" spans="1:7">
      <c r="A30" s="38" t="s">
        <v>1969</v>
      </c>
      <c r="B30" s="38">
        <v>12</v>
      </c>
      <c r="C30" s="38">
        <v>1</v>
      </c>
      <c r="D30" s="38">
        <v>2</v>
      </c>
      <c r="E30" s="38">
        <v>3</v>
      </c>
      <c r="F30" s="38">
        <v>4</v>
      </c>
      <c r="G30" s="38">
        <v>5</v>
      </c>
    </row>
    <row r="31" ht="16.5" customHeight="1" spans="1:7">
      <c r="A31" s="38" t="s">
        <v>1970</v>
      </c>
      <c r="B31" s="41">
        <f>B26-B21</f>
        <v>2969</v>
      </c>
      <c r="C31" s="41">
        <f>C26-C21</f>
        <v>-6542</v>
      </c>
      <c r="D31" s="41">
        <f>D26-D21</f>
        <v>-16745</v>
      </c>
      <c r="E31" s="41">
        <f>E26-E21</f>
        <v>-17986</v>
      </c>
      <c r="F31" s="41">
        <f>F26-F21</f>
        <v>-6531</v>
      </c>
      <c r="G31" s="41">
        <v>-1878</v>
      </c>
    </row>
    <row r="32" ht="16.5" customHeight="1" spans="1:7">
      <c r="A32" s="38" t="s">
        <v>1971</v>
      </c>
      <c r="B32" s="41">
        <f>B27-B22</f>
        <v>59079.157</v>
      </c>
      <c r="C32" s="41">
        <f>C27-C22</f>
        <v>6658.212</v>
      </c>
      <c r="D32" s="41">
        <f>D27-D22</f>
        <v>-174864.125</v>
      </c>
      <c r="E32" s="41">
        <f>E27-E22</f>
        <v>-116891.8</v>
      </c>
      <c r="F32" s="41">
        <f>F27-F22</f>
        <v>14336.042</v>
      </c>
      <c r="G32" s="41">
        <v>32332.23</v>
      </c>
    </row>
    <row r="35" spans="1:7">
      <c r="A35" s="37" t="s">
        <v>238</v>
      </c>
    </row>
    <row r="37" ht="16.5" customHeight="1" spans="1:7">
      <c r="A37" s="38" t="s">
        <v>1963</v>
      </c>
      <c r="B37" s="38">
        <v>24.12</v>
      </c>
      <c r="C37" s="38">
        <v>25.1</v>
      </c>
      <c r="D37" s="38">
        <v>25.2</v>
      </c>
      <c r="E37" s="38">
        <v>25.3</v>
      </c>
      <c r="F37" s="38">
        <v>25.4</v>
      </c>
      <c r="G37" s="38" t="s">
        <v>1964</v>
      </c>
    </row>
    <row r="38" ht="16.5" customHeight="1" spans="1:7">
      <c r="A38" s="38" t="s">
        <v>1970</v>
      </c>
      <c r="B38" s="39">
        <v>0</v>
      </c>
      <c r="C38" s="39">
        <v>0</v>
      </c>
      <c r="D38" s="39">
        <v>50</v>
      </c>
      <c r="E38" s="39">
        <v>9129</v>
      </c>
      <c r="F38" s="39">
        <v>17925</v>
      </c>
      <c r="G38" s="39">
        <v>6982</v>
      </c>
    </row>
    <row r="39" ht="16.5" customHeight="1" spans="1:7">
      <c r="A39" s="38" t="s">
        <v>1971</v>
      </c>
      <c r="B39" s="39">
        <v>0</v>
      </c>
      <c r="C39" s="39">
        <v>0</v>
      </c>
      <c r="D39" s="39">
        <v>210.5</v>
      </c>
      <c r="E39" s="39">
        <v>56401.8</v>
      </c>
      <c r="F39" s="39">
        <v>86441.3</v>
      </c>
      <c r="G39" s="39">
        <v>43288.4</v>
      </c>
    </row>
    <row r="40" spans="1:7">
      <c r="A40" s="40"/>
      <c r="B40" s="40"/>
      <c r="C40" s="40"/>
      <c r="D40" s="40"/>
      <c r="E40" s="40"/>
      <c r="F40" s="40"/>
    </row>
    <row r="41" spans="1:7">
      <c r="A41" s="40"/>
      <c r="B41" s="40"/>
      <c r="C41" s="40"/>
      <c r="D41" s="40"/>
      <c r="E41" s="40"/>
      <c r="F41" s="40"/>
    </row>
    <row r="42" ht="16.5" customHeight="1" spans="1:7">
      <c r="A42" s="38" t="s">
        <v>1963</v>
      </c>
      <c r="B42" s="38">
        <v>25.12</v>
      </c>
      <c r="C42" s="38">
        <v>26.1</v>
      </c>
      <c r="D42" s="38">
        <v>26.2</v>
      </c>
      <c r="E42" s="38">
        <v>26.3</v>
      </c>
      <c r="F42" s="38">
        <v>26.4</v>
      </c>
      <c r="G42" s="38" t="s">
        <v>1968</v>
      </c>
    </row>
    <row r="43" ht="16.5" customHeight="1" spans="1:7">
      <c r="A43" s="38" t="s">
        <v>1970</v>
      </c>
      <c r="B43" s="39">
        <v>82833</v>
      </c>
      <c r="C43" s="39">
        <v>40311</v>
      </c>
      <c r="D43" s="39">
        <v>20188</v>
      </c>
      <c r="E43" s="39">
        <v>15529</v>
      </c>
      <c r="F43" s="39">
        <v>25778</v>
      </c>
      <c r="G43" s="39">
        <v>34160</v>
      </c>
    </row>
    <row r="44" ht="16.5" customHeight="1" spans="1:7">
      <c r="A44" s="38" t="s">
        <v>1971</v>
      </c>
      <c r="B44" s="39">
        <v>302296.95</v>
      </c>
      <c r="C44" s="39">
        <v>52281.55</v>
      </c>
      <c r="D44" s="39">
        <v>49758.25</v>
      </c>
      <c r="E44" s="39">
        <v>93413.35</v>
      </c>
      <c r="F44" s="39">
        <v>46343.25</v>
      </c>
      <c r="G44" s="39">
        <v>108350.35</v>
      </c>
    </row>
    <row r="45" spans="1:7">
      <c r="A45" s="40"/>
      <c r="B45" s="40"/>
      <c r="C45" s="40"/>
      <c r="D45" s="40"/>
      <c r="E45" s="40"/>
      <c r="F45" s="40"/>
    </row>
    <row r="46" spans="1:7">
      <c r="A46" s="40"/>
      <c r="B46" s="40"/>
      <c r="C46" s="40"/>
      <c r="D46" s="40"/>
      <c r="E46" s="40"/>
      <c r="F46" s="40"/>
    </row>
    <row r="47" ht="16.5" customHeight="1" spans="1:7">
      <c r="A47" s="38" t="s">
        <v>1969</v>
      </c>
      <c r="B47" s="38">
        <v>12</v>
      </c>
      <c r="C47" s="38">
        <v>1</v>
      </c>
      <c r="D47" s="38">
        <v>2</v>
      </c>
      <c r="E47" s="38">
        <v>3</v>
      </c>
      <c r="F47" s="38">
        <v>4</v>
      </c>
      <c r="G47" s="38">
        <v>5</v>
      </c>
    </row>
    <row r="48" ht="16.5" customHeight="1" spans="1:7">
      <c r="A48" s="38" t="s">
        <v>1970</v>
      </c>
      <c r="B48" s="41">
        <f>B43-B38</f>
        <v>82833</v>
      </c>
      <c r="C48" s="41">
        <f>C43-C38</f>
        <v>40311</v>
      </c>
      <c r="D48" s="41">
        <f>D43-D38</f>
        <v>20138</v>
      </c>
      <c r="E48" s="41">
        <f>E43-E38</f>
        <v>6400</v>
      </c>
      <c r="F48" s="41">
        <f>F43-F38</f>
        <v>7853</v>
      </c>
      <c r="G48" s="41">
        <v>27178</v>
      </c>
    </row>
    <row r="49" ht="16.5" customHeight="1" spans="1:7">
      <c r="A49" s="38" t="s">
        <v>1971</v>
      </c>
      <c r="B49" s="41">
        <f>B44-B39</f>
        <v>302296.95</v>
      </c>
      <c r="C49" s="41">
        <f>C44-C39</f>
        <v>52281.55</v>
      </c>
      <c r="D49" s="41">
        <f>D44-D39</f>
        <v>49547.75</v>
      </c>
      <c r="E49" s="41">
        <f>E44-E39</f>
        <v>37011.55</v>
      </c>
      <c r="F49" s="41">
        <f>F44-F39</f>
        <v>-40098.05</v>
      </c>
      <c r="G49" s="41">
        <v>65061.95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zoomScale="115" zoomScaleNormal="115" workbookViewId="0">
      <pane ySplit="1" topLeftCell="A2" activePane="bottomLeft" state="frozen"/>
      <selection/>
      <selection pane="bottomLeft" activeCell="C31" sqref="C31"/>
    </sheetView>
  </sheetViews>
  <sheetFormatPr defaultColWidth="8.8" defaultRowHeight="14.25" outlineLevelCol="5"/>
  <cols>
    <col min="1" max="1" width="11.5" style="30" customWidth="1"/>
    <col min="2" max="2" width="13.3" style="30" customWidth="1"/>
    <col min="3" max="3" width="21" style="30" customWidth="1"/>
    <col min="4" max="4" width="21.3" style="31" customWidth="1"/>
    <col min="5" max="5" width="11.6" style="32" customWidth="1"/>
    <col min="6" max="6" width="12.8" style="32" customWidth="1"/>
    <col min="7" max="16384" width="8.8" style="29" customWidth="1"/>
  </cols>
  <sheetData>
    <row r="1" s="29" customFormat="1" spans="1:6">
      <c r="A1" s="33" t="s">
        <v>1956</v>
      </c>
      <c r="B1" s="33" t="s">
        <v>15</v>
      </c>
      <c r="C1" s="33" t="s">
        <v>1970</v>
      </c>
      <c r="D1" s="34" t="s">
        <v>1971</v>
      </c>
      <c r="E1" s="35" t="s">
        <v>1972</v>
      </c>
      <c r="F1" s="35" t="s">
        <v>1973</v>
      </c>
    </row>
    <row r="2" s="29" customFormat="1" spans="1:6">
      <c r="A2" s="30">
        <v>202412</v>
      </c>
      <c r="B2" s="30"/>
      <c r="C2" s="30">
        <v>64567</v>
      </c>
      <c r="D2" s="31">
        <v>1371922.65</v>
      </c>
      <c r="E2" s="32"/>
      <c r="F2" s="32"/>
    </row>
    <row r="3" s="29" customFormat="1" spans="1:6">
      <c r="A3" s="30">
        <v>202412</v>
      </c>
      <c r="B3" s="30" t="s">
        <v>21</v>
      </c>
      <c r="C3" s="30">
        <v>12247</v>
      </c>
      <c r="D3" s="31">
        <v>304386.09</v>
      </c>
      <c r="E3" s="32">
        <f>C3/C2</f>
        <v>0.189678938157263</v>
      </c>
      <c r="F3" s="32">
        <f>D3/D2</f>
        <v>0.221868259117961</v>
      </c>
    </row>
    <row r="4" s="29" customFormat="1" spans="1:6">
      <c r="A4" s="30"/>
      <c r="B4" s="30"/>
      <c r="C4" s="30"/>
      <c r="D4" s="31"/>
      <c r="E4" s="32"/>
      <c r="F4" s="32"/>
    </row>
    <row r="5" s="29" customFormat="1" spans="1:6">
      <c r="A5" s="30"/>
      <c r="B5" s="30"/>
      <c r="C5" s="30"/>
      <c r="D5" s="31"/>
      <c r="E5" s="32"/>
      <c r="F5" s="32"/>
    </row>
    <row r="6" s="29" customFormat="1" spans="1:6">
      <c r="A6" s="30">
        <v>202501</v>
      </c>
      <c r="B6" s="30"/>
      <c r="C6" s="30">
        <v>20966</v>
      </c>
      <c r="D6" s="31">
        <v>368428.3818</v>
      </c>
      <c r="E6" s="32"/>
      <c r="F6" s="32"/>
    </row>
    <row r="7" s="29" customFormat="1" spans="1:6">
      <c r="A7" s="30">
        <v>202501</v>
      </c>
      <c r="B7" s="30" t="s">
        <v>21</v>
      </c>
      <c r="C7" s="30">
        <v>2000</v>
      </c>
      <c r="D7" s="31">
        <v>49420</v>
      </c>
      <c r="E7" s="32">
        <f>C7/C6</f>
        <v>0.0953925403033483</v>
      </c>
      <c r="F7" s="32">
        <f>D7/D6</f>
        <v>0.134137331544744</v>
      </c>
    </row>
    <row r="8" s="29" customFormat="1" spans="1:6">
      <c r="A8" s="30">
        <v>202502</v>
      </c>
      <c r="B8" s="30"/>
      <c r="C8" s="30">
        <v>57951</v>
      </c>
      <c r="D8" s="31">
        <v>1140745.455</v>
      </c>
      <c r="E8" s="32"/>
      <c r="F8" s="32"/>
    </row>
    <row r="9" s="29" customFormat="1" spans="1:6">
      <c r="A9" s="30">
        <v>202502</v>
      </c>
      <c r="B9" s="30" t="s">
        <v>21</v>
      </c>
      <c r="C9" s="30">
        <v>19075</v>
      </c>
      <c r="D9" s="31">
        <v>492598.03</v>
      </c>
      <c r="E9" s="32">
        <f>C9/C8</f>
        <v>0.329157391589446</v>
      </c>
      <c r="F9" s="32">
        <f>D9/D8</f>
        <v>0.431821163819583</v>
      </c>
    </row>
    <row r="10" spans="1:6">
      <c r="A10" s="30">
        <v>202503</v>
      </c>
      <c r="C10" s="30">
        <v>65237</v>
      </c>
      <c r="D10" s="31">
        <v>1327674.905</v>
      </c>
    </row>
    <row r="11" spans="1:6">
      <c r="A11" s="30">
        <v>202503</v>
      </c>
      <c r="B11" s="30" t="s">
        <v>21</v>
      </c>
      <c r="C11" s="30">
        <v>21479</v>
      </c>
      <c r="D11" s="31">
        <v>539920.14</v>
      </c>
      <c r="E11" s="32">
        <f>C11/C10</f>
        <v>0.329245673467511</v>
      </c>
      <c r="F11" s="32">
        <f>D11/D10</f>
        <v>0.406665922483486</v>
      </c>
    </row>
    <row r="12" spans="1:6">
      <c r="A12" s="30">
        <v>202504</v>
      </c>
      <c r="C12" s="30">
        <v>57080</v>
      </c>
      <c r="D12" s="31">
        <v>1162520.722</v>
      </c>
    </row>
    <row r="13" spans="1:6">
      <c r="A13" s="30">
        <v>202504</v>
      </c>
      <c r="B13" s="30" t="s">
        <v>21</v>
      </c>
      <c r="C13" s="30">
        <v>30067</v>
      </c>
      <c r="D13" s="31">
        <v>633469.8</v>
      </c>
      <c r="E13" s="32">
        <f>C13/C12</f>
        <v>0.526751927119832</v>
      </c>
      <c r="F13" s="32">
        <f>D13/D12</f>
        <v>0.544910544828981</v>
      </c>
    </row>
    <row r="14" spans="1:6">
      <c r="A14" s="30">
        <v>202505</v>
      </c>
      <c r="C14" s="30">
        <v>64402</v>
      </c>
      <c r="D14" s="31">
        <v>1266887.44</v>
      </c>
      <c r="E14" s="36"/>
      <c r="F14" s="36"/>
    </row>
    <row r="15" spans="1:6">
      <c r="A15" s="30">
        <v>202505</v>
      </c>
      <c r="B15" s="30" t="s">
        <v>21</v>
      </c>
      <c r="C15" s="30">
        <v>12930</v>
      </c>
      <c r="D15" s="31">
        <v>283128.33</v>
      </c>
      <c r="E15" s="36">
        <f>C15/C14</f>
        <v>0.200770162417316</v>
      </c>
      <c r="F15" s="36">
        <f>D15/D14</f>
        <v>0.223483413806676</v>
      </c>
    </row>
    <row r="16" spans="1:6">
      <c r="A16" s="30">
        <v>202512</v>
      </c>
      <c r="C16" s="30">
        <v>83742</v>
      </c>
      <c r="D16" s="31">
        <v>1632425.7216</v>
      </c>
    </row>
    <row r="17" spans="1:6">
      <c r="A17" s="30">
        <v>202512</v>
      </c>
      <c r="B17" s="30" t="s">
        <v>21</v>
      </c>
      <c r="C17" s="30">
        <v>77156</v>
      </c>
      <c r="D17" s="31">
        <v>1509473.3796</v>
      </c>
      <c r="E17" s="32">
        <f>C17/C16</f>
        <v>0.9213536815457</v>
      </c>
      <c r="F17" s="32">
        <f>D17/D16</f>
        <v>0.924681202719907</v>
      </c>
    </row>
    <row r="18" s="29" customFormat="1" spans="1:6">
      <c r="A18" s="30"/>
      <c r="B18" s="30"/>
      <c r="C18" s="30"/>
      <c r="D18" s="31"/>
      <c r="E18" s="32"/>
      <c r="F18" s="32"/>
    </row>
    <row r="19" s="29" customFormat="1" spans="1:6">
      <c r="A19" s="30"/>
      <c r="B19" s="30"/>
      <c r="C19" s="30"/>
      <c r="D19" s="31"/>
      <c r="E19" s="32"/>
      <c r="F19" s="32"/>
    </row>
    <row r="20" spans="1:6">
      <c r="A20" s="30">
        <v>202601</v>
      </c>
      <c r="C20" s="30">
        <v>80008</v>
      </c>
      <c r="D20" s="31">
        <v>1651055.8416</v>
      </c>
    </row>
    <row r="21" spans="1:6">
      <c r="A21" s="30">
        <v>202601</v>
      </c>
      <c r="B21" s="30" t="s">
        <v>21</v>
      </c>
      <c r="C21" s="30">
        <v>75462</v>
      </c>
      <c r="D21" s="31">
        <v>1554687.3516</v>
      </c>
      <c r="E21" s="32">
        <f>C21/C20</f>
        <v>0.943180681931807</v>
      </c>
      <c r="F21" s="32">
        <f>D21/D20</f>
        <v>0.941632204331374</v>
      </c>
    </row>
    <row r="22" spans="1:6">
      <c r="A22" s="30">
        <v>202602</v>
      </c>
      <c r="C22" s="30">
        <v>49147</v>
      </c>
      <c r="D22" s="31">
        <v>1075948.1205</v>
      </c>
    </row>
    <row r="23" spans="1:6">
      <c r="A23" s="30">
        <v>202602</v>
      </c>
      <c r="B23" s="30" t="s">
        <v>21</v>
      </c>
      <c r="C23" s="30">
        <v>46291</v>
      </c>
      <c r="D23" s="31">
        <v>1007969.1155</v>
      </c>
      <c r="E23" s="32">
        <f>C23/C22</f>
        <v>0.941888619854721</v>
      </c>
      <c r="F23" s="32">
        <f>D23/D22</f>
        <v>0.936819439799375</v>
      </c>
    </row>
    <row r="24" spans="1:6">
      <c r="A24" s="30">
        <v>202603</v>
      </c>
      <c r="C24" s="30">
        <v>75559</v>
      </c>
      <c r="D24" s="31">
        <v>1763122.9235</v>
      </c>
    </row>
    <row r="25" spans="1:6">
      <c r="A25" s="30">
        <v>202603</v>
      </c>
      <c r="B25" s="30" t="s">
        <v>21</v>
      </c>
      <c r="C25" s="30">
        <v>73799</v>
      </c>
      <c r="D25" s="31">
        <v>1711060.4135</v>
      </c>
      <c r="E25" s="32">
        <f>C25/C24</f>
        <v>0.976706944242248</v>
      </c>
      <c r="F25" s="32">
        <f>D25/D24</f>
        <v>0.970471423571165</v>
      </c>
    </row>
    <row r="26" spans="1:6">
      <c r="A26" s="30">
        <v>202604</v>
      </c>
      <c r="C26" s="30">
        <v>101371</v>
      </c>
      <c r="D26" s="31">
        <v>2384208.095</v>
      </c>
    </row>
    <row r="27" spans="1:6">
      <c r="A27" s="30">
        <v>202604</v>
      </c>
      <c r="B27" s="30" t="s">
        <v>21</v>
      </c>
      <c r="C27" s="30">
        <v>97193</v>
      </c>
      <c r="D27" s="31">
        <v>2297502.189</v>
      </c>
      <c r="E27" s="32">
        <f>C27/C26</f>
        <v>0.958785056870308</v>
      </c>
      <c r="F27" s="32">
        <f>D27/D26</f>
        <v>0.963633247373904</v>
      </c>
    </row>
    <row r="28" spans="1:6">
      <c r="A28" s="30">
        <v>202605</v>
      </c>
      <c r="C28" s="30">
        <v>80414</v>
      </c>
      <c r="D28" s="31">
        <v>1680451.76</v>
      </c>
      <c r="E28" s="36"/>
      <c r="F28" s="36"/>
    </row>
    <row r="29" spans="1:6">
      <c r="A29" s="30">
        <v>202605</v>
      </c>
      <c r="B29" s="30" t="s">
        <v>21</v>
      </c>
      <c r="C29" s="30">
        <v>74121</v>
      </c>
      <c r="D29" s="31">
        <v>1555050.56</v>
      </c>
      <c r="E29" s="36">
        <f>C29/C28</f>
        <v>0.921742482652274</v>
      </c>
      <c r="F29" s="36">
        <f>D29/D28</f>
        <v>0.925376495187223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D1" sqref="D1"/>
    </sheetView>
  </sheetViews>
  <sheetFormatPr defaultColWidth="9" defaultRowHeight="13.5"/>
  <cols>
    <col min="1" max="2" width="12" style="1" customWidth="1"/>
    <col min="3" max="3" width="18" style="1" customWidth="1"/>
    <col min="4" max="4" width="22" style="1" customWidth="1"/>
    <col min="5" max="5" width="18" style="1" customWidth="1"/>
    <col min="6" max="6" width="12" style="1" customWidth="1"/>
    <col min="7" max="7" width="18" style="1" customWidth="1"/>
    <col min="8" max="8" width="15" style="1" customWidth="1"/>
    <col min="9" max="9" width="18" style="1" customWidth="1"/>
    <col min="10" max="10" width="15" style="1" customWidth="1"/>
  </cols>
  <sheetData>
    <row r="1" ht="50" customHeight="1" spans="1:10">
      <c r="A1" s="13" t="s">
        <v>3</v>
      </c>
      <c r="B1" s="13" t="s">
        <v>11</v>
      </c>
      <c r="C1" s="13" t="s">
        <v>12</v>
      </c>
      <c r="D1" s="13" t="s">
        <v>13</v>
      </c>
      <c r="E1" s="13" t="s">
        <v>14</v>
      </c>
      <c r="F1" s="13" t="s">
        <v>15</v>
      </c>
      <c r="G1" s="13" t="s">
        <v>1970</v>
      </c>
      <c r="H1" s="13" t="s">
        <v>1974</v>
      </c>
      <c r="I1" s="13" t="s">
        <v>1971</v>
      </c>
      <c r="J1" s="13" t="s">
        <v>1961</v>
      </c>
    </row>
    <row r="2" spans="1:10">
      <c r="A2" s="14" t="s">
        <v>18</v>
      </c>
      <c r="B2" s="15"/>
      <c r="C2" s="15"/>
      <c r="D2" s="15"/>
      <c r="E2" s="15"/>
      <c r="F2" s="15"/>
      <c r="G2" s="15">
        <v>64402</v>
      </c>
      <c r="H2" s="16">
        <f t="shared" ref="H2:H31" si="0">G2/G$31</f>
        <v>1</v>
      </c>
      <c r="I2" s="15">
        <v>1266887.44</v>
      </c>
      <c r="J2" s="16">
        <f t="shared" ref="J2:J31" si="1">I2/I$31</f>
        <v>1</v>
      </c>
    </row>
    <row r="3" spans="1:10">
      <c r="A3" s="15"/>
      <c r="B3" s="14" t="s">
        <v>31</v>
      </c>
      <c r="C3" s="15"/>
      <c r="D3" s="15"/>
      <c r="E3" s="15"/>
      <c r="F3" s="15"/>
      <c r="G3" s="15">
        <v>56621</v>
      </c>
      <c r="H3" s="16">
        <f t="shared" si="0"/>
        <v>0.879180770783516</v>
      </c>
      <c r="I3" s="15">
        <v>1168216.862</v>
      </c>
      <c r="J3" s="16">
        <f t="shared" si="1"/>
        <v>0.922115750078002</v>
      </c>
    </row>
    <row r="4" spans="1:10">
      <c r="A4" s="17"/>
      <c r="B4" s="17"/>
      <c r="C4" s="18" t="s">
        <v>125</v>
      </c>
      <c r="D4" s="17"/>
      <c r="E4" s="17"/>
      <c r="F4" s="17"/>
      <c r="G4" s="17">
        <v>7569</v>
      </c>
      <c r="H4" s="19">
        <f t="shared" si="0"/>
        <v>0.117527405981181</v>
      </c>
      <c r="I4" s="17">
        <v>153123.32</v>
      </c>
      <c r="J4" s="19">
        <f t="shared" si="1"/>
        <v>0.120865765312189</v>
      </c>
    </row>
    <row r="5" spans="1:10">
      <c r="A5" s="20"/>
      <c r="B5" s="20"/>
      <c r="C5" s="20"/>
      <c r="D5" s="21" t="s">
        <v>23</v>
      </c>
      <c r="E5" s="20"/>
      <c r="F5" s="20"/>
      <c r="G5" s="20">
        <v>7569</v>
      </c>
      <c r="H5" s="22">
        <f t="shared" si="0"/>
        <v>0.117527405981181</v>
      </c>
      <c r="I5" s="20">
        <v>153123.32</v>
      </c>
      <c r="J5" s="22">
        <f t="shared" si="1"/>
        <v>0.120865765312189</v>
      </c>
    </row>
    <row r="6" spans="1:10">
      <c r="A6" s="20"/>
      <c r="B6" s="20"/>
      <c r="C6" s="20"/>
      <c r="D6" s="20"/>
      <c r="E6" s="21" t="s">
        <v>125</v>
      </c>
      <c r="F6" s="20"/>
      <c r="G6" s="20">
        <v>7569</v>
      </c>
      <c r="H6" s="22">
        <f t="shared" si="0"/>
        <v>0.117527405981181</v>
      </c>
      <c r="I6" s="20">
        <v>153123.32</v>
      </c>
      <c r="J6" s="22">
        <f t="shared" si="1"/>
        <v>0.120865765312189</v>
      </c>
    </row>
    <row r="7" spans="1:10">
      <c r="A7" s="23"/>
      <c r="B7" s="23"/>
      <c r="C7" s="23"/>
      <c r="D7" s="23"/>
      <c r="E7" s="23"/>
      <c r="F7" s="24" t="s">
        <v>23</v>
      </c>
      <c r="G7" s="23">
        <v>7569</v>
      </c>
      <c r="H7" s="25">
        <f t="shared" si="0"/>
        <v>0.117527405981181</v>
      </c>
      <c r="I7" s="23">
        <v>153123.32</v>
      </c>
      <c r="J7" s="25">
        <f t="shared" si="1"/>
        <v>0.120865765312189</v>
      </c>
    </row>
    <row r="8" spans="1:10">
      <c r="A8" s="20"/>
      <c r="B8" s="20"/>
      <c r="C8" s="21" t="s">
        <v>158</v>
      </c>
      <c r="D8" s="20"/>
      <c r="E8" s="20"/>
      <c r="F8" s="20"/>
      <c r="G8" s="20">
        <v>1850</v>
      </c>
      <c r="H8" s="22">
        <f t="shared" si="0"/>
        <v>0.0287258159684482</v>
      </c>
      <c r="I8" s="20">
        <v>38226.5</v>
      </c>
      <c r="J8" s="22">
        <f t="shared" si="1"/>
        <v>0.0301735566973495</v>
      </c>
    </row>
    <row r="9" spans="1:10">
      <c r="A9" s="20"/>
      <c r="B9" s="20"/>
      <c r="C9" s="20"/>
      <c r="D9" s="21" t="s">
        <v>23</v>
      </c>
      <c r="E9" s="20"/>
      <c r="F9" s="20"/>
      <c r="G9" s="20">
        <v>1850</v>
      </c>
      <c r="H9" s="22">
        <f t="shared" si="0"/>
        <v>0.0287258159684482</v>
      </c>
      <c r="I9" s="20">
        <v>38226.5</v>
      </c>
      <c r="J9" s="22">
        <f t="shared" si="1"/>
        <v>0.0301735566973495</v>
      </c>
    </row>
    <row r="10" spans="1:10">
      <c r="A10" s="20"/>
      <c r="B10" s="20"/>
      <c r="C10" s="20"/>
      <c r="D10" s="20"/>
      <c r="E10" s="21" t="s">
        <v>158</v>
      </c>
      <c r="F10" s="20"/>
      <c r="G10" s="20">
        <v>1850</v>
      </c>
      <c r="H10" s="22">
        <f t="shared" si="0"/>
        <v>0.0287258159684482</v>
      </c>
      <c r="I10" s="20">
        <v>38226.5</v>
      </c>
      <c r="J10" s="22">
        <f t="shared" si="1"/>
        <v>0.0301735566973495</v>
      </c>
    </row>
    <row r="11" spans="1:10">
      <c r="A11" s="23"/>
      <c r="B11" s="23"/>
      <c r="C11" s="23"/>
      <c r="D11" s="23"/>
      <c r="E11" s="23"/>
      <c r="F11" s="24" t="s">
        <v>23</v>
      </c>
      <c r="G11" s="23">
        <v>1850</v>
      </c>
      <c r="H11" s="25">
        <f t="shared" si="0"/>
        <v>0.0287258159684482</v>
      </c>
      <c r="I11" s="23">
        <v>38226.5</v>
      </c>
      <c r="J11" s="25">
        <f t="shared" si="1"/>
        <v>0.0301735566973495</v>
      </c>
    </row>
    <row r="12" spans="1:10">
      <c r="A12" s="20"/>
      <c r="B12" s="20"/>
      <c r="C12" s="21" t="s">
        <v>284</v>
      </c>
      <c r="D12" s="20"/>
      <c r="E12" s="20"/>
      <c r="F12" s="20"/>
      <c r="G12" s="20">
        <v>200</v>
      </c>
      <c r="H12" s="22">
        <f t="shared" si="0"/>
        <v>0.00310549361821061</v>
      </c>
      <c r="I12" s="20">
        <v>2204.6</v>
      </c>
      <c r="J12" s="22">
        <f t="shared" si="1"/>
        <v>0.00174017038167179</v>
      </c>
    </row>
    <row r="13" spans="1:10">
      <c r="A13" s="20"/>
      <c r="B13" s="20"/>
      <c r="C13" s="20"/>
      <c r="D13" s="21" t="s">
        <v>21</v>
      </c>
      <c r="E13" s="20"/>
      <c r="F13" s="20"/>
      <c r="G13" s="20">
        <v>200</v>
      </c>
      <c r="H13" s="22">
        <f t="shared" si="0"/>
        <v>0.00310549361821061</v>
      </c>
      <c r="I13" s="20">
        <v>2204.6</v>
      </c>
      <c r="J13" s="22">
        <f t="shared" si="1"/>
        <v>0.00174017038167179</v>
      </c>
    </row>
    <row r="14" spans="1:10">
      <c r="A14" s="20"/>
      <c r="B14" s="20"/>
      <c r="C14" s="20"/>
      <c r="D14" s="20"/>
      <c r="E14" s="21" t="s">
        <v>1975</v>
      </c>
      <c r="F14" s="20"/>
      <c r="G14" s="20">
        <v>200</v>
      </c>
      <c r="H14" s="22">
        <f t="shared" si="0"/>
        <v>0.00310549361821061</v>
      </c>
      <c r="I14" s="20">
        <v>2204.6</v>
      </c>
      <c r="J14" s="22">
        <f t="shared" si="1"/>
        <v>0.00174017038167179</v>
      </c>
    </row>
    <row r="15" spans="1:10">
      <c r="A15" s="23"/>
      <c r="B15" s="23"/>
      <c r="C15" s="23"/>
      <c r="D15" s="23"/>
      <c r="E15" s="23"/>
      <c r="F15" s="24" t="s">
        <v>23</v>
      </c>
      <c r="G15" s="23">
        <v>200</v>
      </c>
      <c r="H15" s="25">
        <f t="shared" si="0"/>
        <v>0.00310549361821061</v>
      </c>
      <c r="I15" s="23">
        <v>2204.6</v>
      </c>
      <c r="J15" s="25">
        <f t="shared" si="1"/>
        <v>0.00174017038167179</v>
      </c>
    </row>
    <row r="16" spans="1:10">
      <c r="A16" s="17"/>
      <c r="B16" s="17"/>
      <c r="C16" s="18" t="s">
        <v>52</v>
      </c>
      <c r="D16" s="17"/>
      <c r="E16" s="17"/>
      <c r="F16" s="17"/>
      <c r="G16" s="17">
        <v>38795</v>
      </c>
      <c r="H16" s="19">
        <f t="shared" si="0"/>
        <v>0.602388124592404</v>
      </c>
      <c r="I16" s="17">
        <v>819885.577</v>
      </c>
      <c r="J16" s="19">
        <f t="shared" si="1"/>
        <v>0.647165289601419</v>
      </c>
    </row>
    <row r="17" spans="1:10">
      <c r="A17" s="20"/>
      <c r="B17" s="20"/>
      <c r="C17" s="20"/>
      <c r="D17" s="21" t="s">
        <v>23</v>
      </c>
      <c r="E17" s="20"/>
      <c r="F17" s="20"/>
      <c r="G17" s="20">
        <v>38795</v>
      </c>
      <c r="H17" s="22">
        <f t="shared" si="0"/>
        <v>0.602388124592404</v>
      </c>
      <c r="I17" s="20">
        <v>819885.577</v>
      </c>
      <c r="J17" s="22">
        <f t="shared" si="1"/>
        <v>0.647165289601419</v>
      </c>
    </row>
    <row r="18" spans="1:10">
      <c r="A18" s="20"/>
      <c r="B18" s="20"/>
      <c r="C18" s="20"/>
      <c r="D18" s="20"/>
      <c r="E18" s="21" t="s">
        <v>52</v>
      </c>
      <c r="F18" s="20"/>
      <c r="G18" s="20">
        <v>38795</v>
      </c>
      <c r="H18" s="22">
        <f t="shared" si="0"/>
        <v>0.602388124592404</v>
      </c>
      <c r="I18" s="20">
        <v>819885.577</v>
      </c>
      <c r="J18" s="22">
        <f t="shared" si="1"/>
        <v>0.647165289601419</v>
      </c>
    </row>
    <row r="19" spans="1:10">
      <c r="A19" s="23"/>
      <c r="B19" s="23"/>
      <c r="C19" s="23"/>
      <c r="D19" s="23"/>
      <c r="E19" s="23"/>
      <c r="F19" s="24" t="s">
        <v>23</v>
      </c>
      <c r="G19" s="23">
        <v>26365</v>
      </c>
      <c r="H19" s="25">
        <f t="shared" si="0"/>
        <v>0.409381696220614</v>
      </c>
      <c r="I19" s="23">
        <v>546017.747</v>
      </c>
      <c r="J19" s="25">
        <f t="shared" si="1"/>
        <v>0.430991522814371</v>
      </c>
    </row>
    <row r="20" spans="1:10">
      <c r="A20" s="23"/>
      <c r="B20" s="23"/>
      <c r="C20" s="23"/>
      <c r="D20" s="23"/>
      <c r="E20" s="23"/>
      <c r="F20" s="24" t="s">
        <v>21</v>
      </c>
      <c r="G20" s="23">
        <v>12430</v>
      </c>
      <c r="H20" s="25">
        <f t="shared" si="0"/>
        <v>0.19300642837179</v>
      </c>
      <c r="I20" s="23">
        <v>273867.83</v>
      </c>
      <c r="J20" s="25">
        <f t="shared" si="1"/>
        <v>0.216173766787048</v>
      </c>
    </row>
    <row r="21" spans="1:10">
      <c r="A21" s="17"/>
      <c r="B21" s="17"/>
      <c r="C21" s="18" t="s">
        <v>75</v>
      </c>
      <c r="D21" s="17"/>
      <c r="E21" s="17"/>
      <c r="F21" s="17"/>
      <c r="G21" s="17">
        <v>8207</v>
      </c>
      <c r="H21" s="19">
        <f t="shared" si="0"/>
        <v>0.127433930623273</v>
      </c>
      <c r="I21" s="17">
        <v>154776.865</v>
      </c>
      <c r="J21" s="19">
        <f t="shared" si="1"/>
        <v>0.122170968085373</v>
      </c>
    </row>
    <row r="22" spans="1:10">
      <c r="A22" s="20"/>
      <c r="B22" s="20"/>
      <c r="C22" s="20"/>
      <c r="D22" s="21" t="s">
        <v>23</v>
      </c>
      <c r="E22" s="20"/>
      <c r="F22" s="20"/>
      <c r="G22" s="20">
        <v>8207</v>
      </c>
      <c r="H22" s="22">
        <f t="shared" si="0"/>
        <v>0.127433930623273</v>
      </c>
      <c r="I22" s="20">
        <v>154776.865</v>
      </c>
      <c r="J22" s="22">
        <f t="shared" si="1"/>
        <v>0.122170968085373</v>
      </c>
    </row>
    <row r="23" spans="1:10">
      <c r="A23" s="20"/>
      <c r="B23" s="20"/>
      <c r="C23" s="20"/>
      <c r="D23" s="20"/>
      <c r="E23" s="21" t="s">
        <v>75</v>
      </c>
      <c r="F23" s="20"/>
      <c r="G23" s="20">
        <v>8207</v>
      </c>
      <c r="H23" s="22">
        <f t="shared" si="0"/>
        <v>0.127433930623273</v>
      </c>
      <c r="I23" s="20">
        <v>154776.865</v>
      </c>
      <c r="J23" s="22">
        <f t="shared" si="1"/>
        <v>0.122170968085373</v>
      </c>
    </row>
    <row r="24" spans="1:10">
      <c r="A24" s="23"/>
      <c r="B24" s="23"/>
      <c r="C24" s="23"/>
      <c r="D24" s="23"/>
      <c r="E24" s="23"/>
      <c r="F24" s="24" t="s">
        <v>23</v>
      </c>
      <c r="G24" s="23">
        <v>7707</v>
      </c>
      <c r="H24" s="25">
        <f t="shared" si="0"/>
        <v>0.119670196577746</v>
      </c>
      <c r="I24" s="23">
        <v>145516.365</v>
      </c>
      <c r="J24" s="25">
        <f t="shared" si="1"/>
        <v>0.114861321065745</v>
      </c>
    </row>
    <row r="25" spans="1:10">
      <c r="A25" s="23"/>
      <c r="B25" s="23"/>
      <c r="C25" s="23"/>
      <c r="D25" s="23"/>
      <c r="E25" s="23"/>
      <c r="F25" s="24" t="s">
        <v>21</v>
      </c>
      <c r="G25" s="23">
        <v>500</v>
      </c>
      <c r="H25" s="25">
        <f t="shared" si="0"/>
        <v>0.00776373404552654</v>
      </c>
      <c r="I25" s="23">
        <v>9260.5</v>
      </c>
      <c r="J25" s="25">
        <f t="shared" si="1"/>
        <v>0.00730964701962788</v>
      </c>
    </row>
    <row r="26" spans="1:10">
      <c r="A26" s="15"/>
      <c r="B26" s="14" t="s">
        <v>22</v>
      </c>
      <c r="C26" s="15"/>
      <c r="D26" s="15"/>
      <c r="E26" s="15"/>
      <c r="F26" s="15"/>
      <c r="G26" s="15">
        <v>7781</v>
      </c>
      <c r="H26" s="16">
        <f t="shared" si="0"/>
        <v>0.120819229216484</v>
      </c>
      <c r="I26" s="15">
        <v>98670.575</v>
      </c>
      <c r="J26" s="16">
        <f t="shared" si="1"/>
        <v>0.0778842475539895</v>
      </c>
    </row>
    <row r="27" spans="1:10">
      <c r="A27" s="20"/>
      <c r="B27" s="20"/>
      <c r="C27" s="21" t="s">
        <v>1975</v>
      </c>
      <c r="D27" s="20"/>
      <c r="E27" s="20"/>
      <c r="F27" s="20"/>
      <c r="G27" s="20">
        <v>7781</v>
      </c>
      <c r="H27" s="22">
        <f t="shared" si="0"/>
        <v>0.120819229216484</v>
      </c>
      <c r="I27" s="20">
        <v>98670.575</v>
      </c>
      <c r="J27" s="22">
        <f t="shared" si="1"/>
        <v>0.0778842475539895</v>
      </c>
    </row>
    <row r="28" spans="1:10">
      <c r="A28" s="20"/>
      <c r="B28" s="20"/>
      <c r="C28" s="20"/>
      <c r="D28" s="21" t="s">
        <v>1975</v>
      </c>
      <c r="E28" s="20"/>
      <c r="F28" s="20"/>
      <c r="G28" s="20">
        <v>7781</v>
      </c>
      <c r="H28" s="22">
        <f t="shared" si="0"/>
        <v>0.120819229216484</v>
      </c>
      <c r="I28" s="20">
        <v>98670.575</v>
      </c>
      <c r="J28" s="22">
        <f t="shared" si="1"/>
        <v>0.0778842475539895</v>
      </c>
    </row>
    <row r="29" spans="1:10">
      <c r="A29" s="20"/>
      <c r="B29" s="20"/>
      <c r="C29" s="20"/>
      <c r="D29" s="20"/>
      <c r="E29" s="21" t="s">
        <v>1975</v>
      </c>
      <c r="F29" s="20"/>
      <c r="G29" s="20">
        <v>7781</v>
      </c>
      <c r="H29" s="22">
        <f t="shared" si="0"/>
        <v>0.120819229216484</v>
      </c>
      <c r="I29" s="20">
        <v>98670.575</v>
      </c>
      <c r="J29" s="22">
        <f t="shared" si="1"/>
        <v>0.0778842475539895</v>
      </c>
    </row>
    <row r="30" spans="1:10">
      <c r="A30" s="23"/>
      <c r="B30" s="23"/>
      <c r="C30" s="23"/>
      <c r="D30" s="23"/>
      <c r="E30" s="23"/>
      <c r="F30" s="24" t="s">
        <v>23</v>
      </c>
      <c r="G30" s="23">
        <v>7781</v>
      </c>
      <c r="H30" s="25">
        <f t="shared" si="0"/>
        <v>0.120819229216484</v>
      </c>
      <c r="I30" s="23">
        <v>98670.575</v>
      </c>
      <c r="J30" s="25">
        <f t="shared" si="1"/>
        <v>0.0778842475539895</v>
      </c>
    </row>
    <row r="31" spans="1:10">
      <c r="A31" s="26" t="s">
        <v>1976</v>
      </c>
      <c r="B31" s="27"/>
      <c r="C31" s="27"/>
      <c r="D31" s="27"/>
      <c r="E31" s="27"/>
      <c r="F31" s="27"/>
      <c r="G31" s="27">
        <v>64402</v>
      </c>
      <c r="H31" s="28">
        <f t="shared" si="0"/>
        <v>1</v>
      </c>
      <c r="I31" s="27">
        <v>1266887.44</v>
      </c>
      <c r="J31" s="28">
        <f t="shared" si="1"/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workbookViewId="0">
      <selection activeCell="A1" sqref="A1"/>
    </sheetView>
  </sheetViews>
  <sheetFormatPr defaultColWidth="9" defaultRowHeight="13.5"/>
  <cols>
    <col min="1" max="2" width="12" style="1" customWidth="1"/>
    <col min="3" max="3" width="18" style="1" customWidth="1"/>
    <col min="4" max="4" width="22" style="1" customWidth="1"/>
    <col min="5" max="5" width="18" style="1" customWidth="1"/>
    <col min="6" max="6" width="12" style="1" customWidth="1"/>
    <col min="7" max="7" width="18" style="1" customWidth="1"/>
    <col min="8" max="8" width="15" style="1" customWidth="1"/>
    <col min="9" max="9" width="18" style="1" customWidth="1"/>
    <col min="10" max="10" width="15" style="1" customWidth="1"/>
  </cols>
  <sheetData>
    <row r="1" ht="50" customHeight="1" spans="1:10">
      <c r="A1" s="2" t="s">
        <v>3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1970</v>
      </c>
      <c r="H1" s="2" t="s">
        <v>1974</v>
      </c>
      <c r="I1" s="2" t="s">
        <v>1971</v>
      </c>
      <c r="J1" s="2" t="s">
        <v>1961</v>
      </c>
    </row>
    <row r="2" spans="1:10">
      <c r="A2" s="3" t="s">
        <v>18</v>
      </c>
      <c r="B2" s="3"/>
      <c r="C2" s="3"/>
      <c r="D2" s="3"/>
      <c r="E2" s="3"/>
      <c r="F2" s="3"/>
      <c r="G2" s="3">
        <v>80414</v>
      </c>
      <c r="H2" s="4">
        <f t="shared" ref="H2:H49" si="0">G2/G$49</f>
        <v>1</v>
      </c>
      <c r="I2" s="3">
        <v>1680451.76</v>
      </c>
      <c r="J2" s="4">
        <f t="shared" ref="J2:J49" si="1">I2/I$49</f>
        <v>1</v>
      </c>
    </row>
    <row r="3" spans="1:10">
      <c r="A3" s="3"/>
      <c r="B3" s="3" t="s">
        <v>31</v>
      </c>
      <c r="C3" s="3"/>
      <c r="D3" s="3"/>
      <c r="E3" s="3"/>
      <c r="F3" s="3"/>
      <c r="G3" s="3">
        <v>59541</v>
      </c>
      <c r="H3" s="4">
        <f t="shared" si="0"/>
        <v>0.74043077076131</v>
      </c>
      <c r="I3" s="3">
        <v>1336822.7788</v>
      </c>
      <c r="J3" s="4">
        <f t="shared" si="1"/>
        <v>0.795513927040667</v>
      </c>
    </row>
    <row r="4" spans="1:10">
      <c r="A4" s="5"/>
      <c r="B4" s="5"/>
      <c r="C4" s="5" t="s">
        <v>1975</v>
      </c>
      <c r="D4" s="5"/>
      <c r="E4" s="5"/>
      <c r="F4" s="5"/>
      <c r="G4" s="5">
        <v>1000</v>
      </c>
      <c r="H4" s="6">
        <f t="shared" si="0"/>
        <v>0.0124356455343597</v>
      </c>
      <c r="I4" s="5">
        <v>14073</v>
      </c>
      <c r="J4" s="6">
        <f t="shared" si="1"/>
        <v>0.0083745337622783</v>
      </c>
    </row>
    <row r="5" spans="1:10">
      <c r="A5" s="5"/>
      <c r="B5" s="5"/>
      <c r="C5" s="5"/>
      <c r="D5" s="5" t="s">
        <v>1975</v>
      </c>
      <c r="E5" s="5"/>
      <c r="F5" s="5"/>
      <c r="G5" s="5">
        <v>1000</v>
      </c>
      <c r="H5" s="6">
        <f t="shared" si="0"/>
        <v>0.0124356455343597</v>
      </c>
      <c r="I5" s="5">
        <v>14073</v>
      </c>
      <c r="J5" s="6">
        <f t="shared" si="1"/>
        <v>0.0083745337622783</v>
      </c>
    </row>
    <row r="6" spans="1:10">
      <c r="A6" s="5"/>
      <c r="B6" s="5"/>
      <c r="C6" s="5"/>
      <c r="D6" s="5"/>
      <c r="E6" s="5" t="s">
        <v>1975</v>
      </c>
      <c r="F6" s="5"/>
      <c r="G6" s="5">
        <v>1000</v>
      </c>
      <c r="H6" s="6">
        <f t="shared" si="0"/>
        <v>0.0124356455343597</v>
      </c>
      <c r="I6" s="5">
        <v>14073</v>
      </c>
      <c r="J6" s="6">
        <f t="shared" si="1"/>
        <v>0.0083745337622783</v>
      </c>
    </row>
    <row r="7" spans="1:10">
      <c r="A7" s="7"/>
      <c r="B7" s="7"/>
      <c r="C7" s="7"/>
      <c r="D7" s="7"/>
      <c r="E7" s="7"/>
      <c r="F7" s="7" t="s">
        <v>23</v>
      </c>
      <c r="G7" s="7">
        <v>500</v>
      </c>
      <c r="H7" s="8">
        <f t="shared" si="0"/>
        <v>0.00621782276717984</v>
      </c>
      <c r="I7" s="7">
        <v>6750</v>
      </c>
      <c r="J7" s="8">
        <f t="shared" si="1"/>
        <v>0.004016777012391</v>
      </c>
    </row>
    <row r="8" spans="1:10">
      <c r="A8" s="7"/>
      <c r="B8" s="7"/>
      <c r="C8" s="7"/>
      <c r="D8" s="7"/>
      <c r="E8" s="7"/>
      <c r="F8" s="7" t="s">
        <v>21</v>
      </c>
      <c r="G8" s="7">
        <v>500</v>
      </c>
      <c r="H8" s="8">
        <f t="shared" si="0"/>
        <v>0.00621782276717984</v>
      </c>
      <c r="I8" s="7">
        <v>7323</v>
      </c>
      <c r="J8" s="8">
        <f t="shared" si="1"/>
        <v>0.0043577567498873</v>
      </c>
    </row>
    <row r="9" spans="1:10">
      <c r="A9" s="5"/>
      <c r="B9" s="5"/>
      <c r="C9" s="5" t="s">
        <v>125</v>
      </c>
      <c r="D9" s="5"/>
      <c r="E9" s="5"/>
      <c r="F9" s="5"/>
      <c r="G9" s="5">
        <v>800</v>
      </c>
      <c r="H9" s="6">
        <f t="shared" si="0"/>
        <v>0.00994851642748775</v>
      </c>
      <c r="I9" s="5">
        <v>14020.5</v>
      </c>
      <c r="J9" s="6">
        <f t="shared" si="1"/>
        <v>0.00834329216329304</v>
      </c>
    </row>
    <row r="10" spans="1:10">
      <c r="A10" s="5"/>
      <c r="B10" s="5"/>
      <c r="C10" s="5"/>
      <c r="D10" s="5" t="s">
        <v>23</v>
      </c>
      <c r="E10" s="5"/>
      <c r="F10" s="5"/>
      <c r="G10" s="5">
        <v>800</v>
      </c>
      <c r="H10" s="6">
        <f t="shared" si="0"/>
        <v>0.00994851642748775</v>
      </c>
      <c r="I10" s="5">
        <v>14020.5</v>
      </c>
      <c r="J10" s="6">
        <f t="shared" si="1"/>
        <v>0.00834329216329304</v>
      </c>
    </row>
    <row r="11" spans="1:10">
      <c r="A11" s="5"/>
      <c r="B11" s="5"/>
      <c r="C11" s="5"/>
      <c r="D11" s="5"/>
      <c r="E11" s="5" t="s">
        <v>125</v>
      </c>
      <c r="F11" s="5"/>
      <c r="G11" s="5">
        <v>800</v>
      </c>
      <c r="H11" s="6">
        <f t="shared" si="0"/>
        <v>0.00994851642748775</v>
      </c>
      <c r="I11" s="5">
        <v>14020.5</v>
      </c>
      <c r="J11" s="6">
        <f t="shared" si="1"/>
        <v>0.00834329216329304</v>
      </c>
    </row>
    <row r="12" spans="1:10">
      <c r="A12" s="7"/>
      <c r="B12" s="7"/>
      <c r="C12" s="7"/>
      <c r="D12" s="7"/>
      <c r="E12" s="7"/>
      <c r="F12" s="7" t="s">
        <v>21</v>
      </c>
      <c r="G12" s="7">
        <v>800</v>
      </c>
      <c r="H12" s="8">
        <f t="shared" si="0"/>
        <v>0.00994851642748775</v>
      </c>
      <c r="I12" s="7">
        <v>14020.5</v>
      </c>
      <c r="J12" s="8">
        <f t="shared" si="1"/>
        <v>0.00834329216329304</v>
      </c>
    </row>
    <row r="13" spans="1:10">
      <c r="A13" s="9"/>
      <c r="B13" s="9"/>
      <c r="C13" s="9" t="s">
        <v>1381</v>
      </c>
      <c r="D13" s="9"/>
      <c r="E13" s="9"/>
      <c r="F13" s="9"/>
      <c r="G13" s="9">
        <v>4070</v>
      </c>
      <c r="H13" s="10">
        <f t="shared" si="0"/>
        <v>0.0506130773248439</v>
      </c>
      <c r="I13" s="9">
        <v>107838.286</v>
      </c>
      <c r="J13" s="10">
        <f t="shared" si="1"/>
        <v>0.0641721997422883</v>
      </c>
    </row>
    <row r="14" spans="1:10">
      <c r="A14" s="5"/>
      <c r="B14" s="5"/>
      <c r="C14" s="5"/>
      <c r="D14" s="5" t="s">
        <v>23</v>
      </c>
      <c r="E14" s="5"/>
      <c r="F14" s="5"/>
      <c r="G14" s="5">
        <v>4070</v>
      </c>
      <c r="H14" s="6">
        <f t="shared" si="0"/>
        <v>0.0506130773248439</v>
      </c>
      <c r="I14" s="5">
        <v>107838.286</v>
      </c>
      <c r="J14" s="6">
        <f t="shared" si="1"/>
        <v>0.0641721997422883</v>
      </c>
    </row>
    <row r="15" spans="1:10">
      <c r="A15" s="5"/>
      <c r="B15" s="5"/>
      <c r="C15" s="5"/>
      <c r="D15" s="5"/>
      <c r="E15" s="5" t="s">
        <v>1381</v>
      </c>
      <c r="F15" s="5"/>
      <c r="G15" s="5">
        <v>4070</v>
      </c>
      <c r="H15" s="6">
        <f t="shared" si="0"/>
        <v>0.0506130773248439</v>
      </c>
      <c r="I15" s="5">
        <v>107838.286</v>
      </c>
      <c r="J15" s="6">
        <f t="shared" si="1"/>
        <v>0.0641721997422883</v>
      </c>
    </row>
    <row r="16" spans="1:10">
      <c r="A16" s="7"/>
      <c r="B16" s="7"/>
      <c r="C16" s="7"/>
      <c r="D16" s="7"/>
      <c r="E16" s="7"/>
      <c r="F16" s="7" t="s">
        <v>21</v>
      </c>
      <c r="G16" s="7">
        <v>4070</v>
      </c>
      <c r="H16" s="8">
        <f t="shared" si="0"/>
        <v>0.0506130773248439</v>
      </c>
      <c r="I16" s="7">
        <v>107838.286</v>
      </c>
      <c r="J16" s="8">
        <f t="shared" si="1"/>
        <v>0.0641721997422883</v>
      </c>
    </row>
    <row r="17" spans="1:10">
      <c r="A17" s="5"/>
      <c r="B17" s="5"/>
      <c r="C17" s="5" t="s">
        <v>158</v>
      </c>
      <c r="D17" s="5"/>
      <c r="E17" s="5"/>
      <c r="F17" s="5"/>
      <c r="G17" s="5">
        <v>800</v>
      </c>
      <c r="H17" s="6">
        <f t="shared" si="0"/>
        <v>0.00994851642748775</v>
      </c>
      <c r="I17" s="5">
        <v>16026</v>
      </c>
      <c r="J17" s="6">
        <f t="shared" si="1"/>
        <v>0.0095367212445301</v>
      </c>
    </row>
    <row r="18" spans="1:10">
      <c r="A18" s="5"/>
      <c r="B18" s="5"/>
      <c r="C18" s="5"/>
      <c r="D18" s="5" t="s">
        <v>23</v>
      </c>
      <c r="E18" s="5"/>
      <c r="F18" s="5"/>
      <c r="G18" s="5">
        <v>800</v>
      </c>
      <c r="H18" s="6">
        <f t="shared" si="0"/>
        <v>0.00994851642748775</v>
      </c>
      <c r="I18" s="5">
        <v>16026</v>
      </c>
      <c r="J18" s="6">
        <f t="shared" si="1"/>
        <v>0.0095367212445301</v>
      </c>
    </row>
    <row r="19" spans="1:10">
      <c r="A19" s="5"/>
      <c r="B19" s="5"/>
      <c r="C19" s="5"/>
      <c r="D19" s="5"/>
      <c r="E19" s="5" t="s">
        <v>158</v>
      </c>
      <c r="F19" s="5"/>
      <c r="G19" s="5">
        <v>800</v>
      </c>
      <c r="H19" s="6">
        <f t="shared" si="0"/>
        <v>0.00994851642748775</v>
      </c>
      <c r="I19" s="5">
        <v>16026</v>
      </c>
      <c r="J19" s="6">
        <f t="shared" si="1"/>
        <v>0.0095367212445301</v>
      </c>
    </row>
    <row r="20" spans="1:10">
      <c r="A20" s="7"/>
      <c r="B20" s="7"/>
      <c r="C20" s="7"/>
      <c r="D20" s="7"/>
      <c r="E20" s="7"/>
      <c r="F20" s="7" t="s">
        <v>21</v>
      </c>
      <c r="G20" s="7">
        <v>800</v>
      </c>
      <c r="H20" s="8">
        <f t="shared" si="0"/>
        <v>0.00994851642748775</v>
      </c>
      <c r="I20" s="7">
        <v>16026</v>
      </c>
      <c r="J20" s="8">
        <f t="shared" si="1"/>
        <v>0.0095367212445301</v>
      </c>
    </row>
    <row r="21" spans="1:10">
      <c r="A21" s="5"/>
      <c r="B21" s="5"/>
      <c r="C21" s="5" t="s">
        <v>1527</v>
      </c>
      <c r="D21" s="5"/>
      <c r="E21" s="5"/>
      <c r="F21" s="5"/>
      <c r="G21" s="5">
        <v>200</v>
      </c>
      <c r="H21" s="6">
        <f t="shared" si="0"/>
        <v>0.00248712910687194</v>
      </c>
      <c r="I21" s="5">
        <v>3266</v>
      </c>
      <c r="J21" s="6">
        <f t="shared" si="1"/>
        <v>0.00194352499592133</v>
      </c>
    </row>
    <row r="22" spans="1:10">
      <c r="A22" s="5"/>
      <c r="B22" s="5"/>
      <c r="C22" s="5"/>
      <c r="D22" s="5" t="s">
        <v>21</v>
      </c>
      <c r="E22" s="5"/>
      <c r="F22" s="5"/>
      <c r="G22" s="5">
        <v>200</v>
      </c>
      <c r="H22" s="6">
        <f t="shared" si="0"/>
        <v>0.00248712910687194</v>
      </c>
      <c r="I22" s="5">
        <v>3266</v>
      </c>
      <c r="J22" s="6">
        <f t="shared" si="1"/>
        <v>0.00194352499592133</v>
      </c>
    </row>
    <row r="23" spans="1:10">
      <c r="A23" s="5"/>
      <c r="B23" s="5"/>
      <c r="C23" s="5"/>
      <c r="D23" s="5"/>
      <c r="E23" s="5" t="s">
        <v>1975</v>
      </c>
      <c r="F23" s="5"/>
      <c r="G23" s="5">
        <v>200</v>
      </c>
      <c r="H23" s="6">
        <f t="shared" si="0"/>
        <v>0.00248712910687194</v>
      </c>
      <c r="I23" s="5">
        <v>3266</v>
      </c>
      <c r="J23" s="6">
        <f t="shared" si="1"/>
        <v>0.00194352499592133</v>
      </c>
    </row>
    <row r="24" spans="1:10">
      <c r="A24" s="7"/>
      <c r="B24" s="7"/>
      <c r="C24" s="7"/>
      <c r="D24" s="7"/>
      <c r="E24" s="7"/>
      <c r="F24" s="7" t="s">
        <v>21</v>
      </c>
      <c r="G24" s="7">
        <v>200</v>
      </c>
      <c r="H24" s="8">
        <f t="shared" si="0"/>
        <v>0.00248712910687194</v>
      </c>
      <c r="I24" s="7">
        <v>3266</v>
      </c>
      <c r="J24" s="8">
        <f t="shared" si="1"/>
        <v>0.00194352499592133</v>
      </c>
    </row>
    <row r="25" spans="1:10">
      <c r="A25" s="9"/>
      <c r="B25" s="9"/>
      <c r="C25" s="9" t="s">
        <v>52</v>
      </c>
      <c r="D25" s="9"/>
      <c r="E25" s="9"/>
      <c r="F25" s="9"/>
      <c r="G25" s="9">
        <v>37413</v>
      </c>
      <c r="H25" s="10">
        <f t="shared" si="0"/>
        <v>0.465254806376999</v>
      </c>
      <c r="I25" s="9">
        <v>818722.3153</v>
      </c>
      <c r="J25" s="10">
        <f t="shared" si="1"/>
        <v>0.487203700093123</v>
      </c>
    </row>
    <row r="26" spans="1:10">
      <c r="A26" s="5"/>
      <c r="B26" s="5"/>
      <c r="C26" s="5"/>
      <c r="D26" s="5" t="s">
        <v>1975</v>
      </c>
      <c r="E26" s="5"/>
      <c r="F26" s="5"/>
      <c r="G26" s="5">
        <v>600</v>
      </c>
      <c r="H26" s="6">
        <f t="shared" si="0"/>
        <v>0.00746138732061581</v>
      </c>
      <c r="I26" s="5">
        <v>17290.44</v>
      </c>
      <c r="J26" s="6">
        <f t="shared" si="1"/>
        <v>0.0102891617668335</v>
      </c>
    </row>
    <row r="27" spans="1:10">
      <c r="A27" s="5"/>
      <c r="B27" s="5"/>
      <c r="C27" s="5"/>
      <c r="D27" s="5"/>
      <c r="E27" s="5" t="s">
        <v>52</v>
      </c>
      <c r="F27" s="5"/>
      <c r="G27" s="5">
        <v>600</v>
      </c>
      <c r="H27" s="6">
        <f t="shared" si="0"/>
        <v>0.00746138732061581</v>
      </c>
      <c r="I27" s="5">
        <v>17290.44</v>
      </c>
      <c r="J27" s="6">
        <f t="shared" si="1"/>
        <v>0.0102891617668335</v>
      </c>
    </row>
    <row r="28" spans="1:10">
      <c r="A28" s="7"/>
      <c r="B28" s="7"/>
      <c r="C28" s="7"/>
      <c r="D28" s="7"/>
      <c r="E28" s="7"/>
      <c r="F28" s="7" t="s">
        <v>23</v>
      </c>
      <c r="G28" s="7">
        <v>600</v>
      </c>
      <c r="H28" s="8">
        <f t="shared" si="0"/>
        <v>0.00746138732061581</v>
      </c>
      <c r="I28" s="7">
        <v>17290.44</v>
      </c>
      <c r="J28" s="8">
        <f t="shared" si="1"/>
        <v>0.0102891617668335</v>
      </c>
    </row>
    <row r="29" spans="1:10">
      <c r="A29" s="5"/>
      <c r="B29" s="5"/>
      <c r="C29" s="5"/>
      <c r="D29" s="5" t="s">
        <v>23</v>
      </c>
      <c r="E29" s="5"/>
      <c r="F29" s="5"/>
      <c r="G29" s="5">
        <v>36813</v>
      </c>
      <c r="H29" s="6">
        <f t="shared" si="0"/>
        <v>0.457793419056383</v>
      </c>
      <c r="I29" s="5">
        <v>801431.8753</v>
      </c>
      <c r="J29" s="6">
        <f t="shared" si="1"/>
        <v>0.476914538326289</v>
      </c>
    </row>
    <row r="30" spans="1:10">
      <c r="A30" s="5"/>
      <c r="B30" s="5"/>
      <c r="C30" s="5"/>
      <c r="D30" s="5"/>
      <c r="E30" s="5" t="s">
        <v>52</v>
      </c>
      <c r="F30" s="5"/>
      <c r="G30" s="5">
        <v>36813</v>
      </c>
      <c r="H30" s="6">
        <f t="shared" si="0"/>
        <v>0.457793419056383</v>
      </c>
      <c r="I30" s="5">
        <v>801431.8753</v>
      </c>
      <c r="J30" s="6">
        <f t="shared" si="1"/>
        <v>0.476914538326289</v>
      </c>
    </row>
    <row r="31" spans="1:10">
      <c r="A31" s="7"/>
      <c r="B31" s="7"/>
      <c r="C31" s="7"/>
      <c r="D31" s="7"/>
      <c r="E31" s="7"/>
      <c r="F31" s="7" t="s">
        <v>23</v>
      </c>
      <c r="G31" s="7">
        <v>1800</v>
      </c>
      <c r="H31" s="8">
        <f t="shared" si="0"/>
        <v>0.0223841619618474</v>
      </c>
      <c r="I31" s="7">
        <v>25195.45</v>
      </c>
      <c r="J31" s="8">
        <f t="shared" si="1"/>
        <v>0.014993259907681</v>
      </c>
    </row>
    <row r="32" spans="1:10">
      <c r="A32" s="7"/>
      <c r="B32" s="7"/>
      <c r="C32" s="7"/>
      <c r="D32" s="7"/>
      <c r="E32" s="7"/>
      <c r="F32" s="7" t="s">
        <v>21</v>
      </c>
      <c r="G32" s="7">
        <v>35013</v>
      </c>
      <c r="H32" s="8">
        <f t="shared" si="0"/>
        <v>0.435409257094536</v>
      </c>
      <c r="I32" s="7">
        <v>776236.4253</v>
      </c>
      <c r="J32" s="8">
        <f t="shared" si="1"/>
        <v>0.461921278418608</v>
      </c>
    </row>
    <row r="33" spans="1:10">
      <c r="A33" s="9"/>
      <c r="B33" s="9"/>
      <c r="C33" s="9" t="s">
        <v>75</v>
      </c>
      <c r="D33" s="9"/>
      <c r="E33" s="9"/>
      <c r="F33" s="9"/>
      <c r="G33" s="9">
        <v>15258</v>
      </c>
      <c r="H33" s="10">
        <f t="shared" si="0"/>
        <v>0.18974307956326</v>
      </c>
      <c r="I33" s="9">
        <v>362876.6775</v>
      </c>
      <c r="J33" s="10">
        <f t="shared" si="1"/>
        <v>0.215939955039233</v>
      </c>
    </row>
    <row r="34" spans="1:10">
      <c r="A34" s="5"/>
      <c r="B34" s="5"/>
      <c r="C34" s="5"/>
      <c r="D34" s="5" t="s">
        <v>23</v>
      </c>
      <c r="E34" s="5"/>
      <c r="F34" s="5"/>
      <c r="G34" s="5">
        <v>14798</v>
      </c>
      <c r="H34" s="6">
        <f t="shared" si="0"/>
        <v>0.184022682617455</v>
      </c>
      <c r="I34" s="5">
        <v>354228.6775</v>
      </c>
      <c r="J34" s="6">
        <f t="shared" si="1"/>
        <v>0.210793719838765</v>
      </c>
    </row>
    <row r="35" spans="1:10">
      <c r="A35" s="5"/>
      <c r="B35" s="5"/>
      <c r="C35" s="5"/>
      <c r="D35" s="5"/>
      <c r="E35" s="5" t="s">
        <v>52</v>
      </c>
      <c r="F35" s="5"/>
      <c r="G35" s="5">
        <v>100</v>
      </c>
      <c r="H35" s="6">
        <f t="shared" si="0"/>
        <v>0.00124356455343597</v>
      </c>
      <c r="I35" s="5">
        <v>2150</v>
      </c>
      <c r="J35" s="6">
        <f t="shared" si="1"/>
        <v>0.00127941786320602</v>
      </c>
    </row>
    <row r="36" spans="1:10">
      <c r="A36" s="7"/>
      <c r="B36" s="7"/>
      <c r="C36" s="7"/>
      <c r="D36" s="7"/>
      <c r="E36" s="7"/>
      <c r="F36" s="7" t="s">
        <v>21</v>
      </c>
      <c r="G36" s="7">
        <v>100</v>
      </c>
      <c r="H36" s="8">
        <f t="shared" si="0"/>
        <v>0.00124356455343597</v>
      </c>
      <c r="I36" s="7">
        <v>2150</v>
      </c>
      <c r="J36" s="8">
        <f t="shared" si="1"/>
        <v>0.00127941786320602</v>
      </c>
    </row>
    <row r="37" spans="1:10">
      <c r="A37" s="5"/>
      <c r="B37" s="5"/>
      <c r="C37" s="5"/>
      <c r="D37" s="5"/>
      <c r="E37" s="5" t="s">
        <v>75</v>
      </c>
      <c r="F37" s="5"/>
      <c r="G37" s="5">
        <v>14698</v>
      </c>
      <c r="H37" s="6">
        <f t="shared" si="0"/>
        <v>0.182779118064019</v>
      </c>
      <c r="I37" s="5">
        <v>352078.6775</v>
      </c>
      <c r="J37" s="6">
        <f t="shared" si="1"/>
        <v>0.209514301975559</v>
      </c>
    </row>
    <row r="38" spans="1:10">
      <c r="A38" s="7"/>
      <c r="B38" s="7"/>
      <c r="C38" s="7"/>
      <c r="D38" s="7"/>
      <c r="E38" s="7"/>
      <c r="F38" s="7" t="s">
        <v>23</v>
      </c>
      <c r="G38" s="7">
        <v>1905</v>
      </c>
      <c r="H38" s="8">
        <f t="shared" si="0"/>
        <v>0.0236899047429552</v>
      </c>
      <c r="I38" s="7">
        <v>50583.1005</v>
      </c>
      <c r="J38" s="8">
        <f t="shared" si="1"/>
        <v>0.0301008941190909</v>
      </c>
    </row>
    <row r="39" spans="1:10">
      <c r="A39" s="7"/>
      <c r="B39" s="7"/>
      <c r="C39" s="7"/>
      <c r="D39" s="7"/>
      <c r="E39" s="7"/>
      <c r="F39" s="7" t="s">
        <v>21</v>
      </c>
      <c r="G39" s="7">
        <v>12793</v>
      </c>
      <c r="H39" s="8">
        <f t="shared" si="0"/>
        <v>0.159089213321063</v>
      </c>
      <c r="I39" s="7">
        <v>301495.577</v>
      </c>
      <c r="J39" s="8">
        <f t="shared" si="1"/>
        <v>0.179413407856468</v>
      </c>
    </row>
    <row r="40" spans="1:10">
      <c r="A40" s="5"/>
      <c r="B40" s="5"/>
      <c r="C40" s="5"/>
      <c r="D40" s="5" t="s">
        <v>21</v>
      </c>
      <c r="E40" s="5"/>
      <c r="F40" s="5"/>
      <c r="G40" s="5">
        <v>460</v>
      </c>
      <c r="H40" s="6">
        <f t="shared" si="0"/>
        <v>0.00572039694580546</v>
      </c>
      <c r="I40" s="5">
        <v>8648</v>
      </c>
      <c r="J40" s="6">
        <f t="shared" si="1"/>
        <v>0.00514623520046776</v>
      </c>
    </row>
    <row r="41" spans="1:10">
      <c r="A41" s="5"/>
      <c r="B41" s="5"/>
      <c r="C41" s="5"/>
      <c r="D41" s="5"/>
      <c r="E41" s="5" t="s">
        <v>1975</v>
      </c>
      <c r="F41" s="5"/>
      <c r="G41" s="5">
        <v>460</v>
      </c>
      <c r="H41" s="6">
        <f t="shared" si="0"/>
        <v>0.00572039694580546</v>
      </c>
      <c r="I41" s="5">
        <v>8648</v>
      </c>
      <c r="J41" s="6">
        <f t="shared" si="1"/>
        <v>0.00514623520046776</v>
      </c>
    </row>
    <row r="42" spans="1:10">
      <c r="A42" s="7"/>
      <c r="B42" s="7"/>
      <c r="C42" s="7"/>
      <c r="D42" s="7"/>
      <c r="E42" s="7"/>
      <c r="F42" s="7" t="s">
        <v>21</v>
      </c>
      <c r="G42" s="7">
        <v>460</v>
      </c>
      <c r="H42" s="8">
        <f t="shared" si="0"/>
        <v>0.00572039694580546</v>
      </c>
      <c r="I42" s="7">
        <v>8648</v>
      </c>
      <c r="J42" s="8">
        <f t="shared" si="1"/>
        <v>0.00514623520046776</v>
      </c>
    </row>
    <row r="43" spans="1:10">
      <c r="A43" s="3"/>
      <c r="B43" s="3" t="s">
        <v>22</v>
      </c>
      <c r="C43" s="3"/>
      <c r="D43" s="3"/>
      <c r="E43" s="3"/>
      <c r="F43" s="3"/>
      <c r="G43" s="3">
        <v>20873</v>
      </c>
      <c r="H43" s="4">
        <f t="shared" si="0"/>
        <v>0.25956922923869</v>
      </c>
      <c r="I43" s="3">
        <v>343628.98</v>
      </c>
      <c r="J43" s="4">
        <f t="shared" si="1"/>
        <v>0.20448607224524</v>
      </c>
    </row>
    <row r="44" spans="1:10">
      <c r="A44" s="5"/>
      <c r="B44" s="5"/>
      <c r="C44" s="5" t="s">
        <v>1975</v>
      </c>
      <c r="D44" s="5"/>
      <c r="E44" s="5"/>
      <c r="F44" s="5"/>
      <c r="G44" s="5">
        <v>20873</v>
      </c>
      <c r="H44" s="6">
        <f t="shared" si="0"/>
        <v>0.25956922923869</v>
      </c>
      <c r="I44" s="5">
        <v>343628.98</v>
      </c>
      <c r="J44" s="6">
        <f t="shared" si="1"/>
        <v>0.20448607224524</v>
      </c>
    </row>
    <row r="45" spans="1:10">
      <c r="A45" s="5"/>
      <c r="B45" s="5"/>
      <c r="C45" s="5"/>
      <c r="D45" s="5" t="s">
        <v>1975</v>
      </c>
      <c r="E45" s="5"/>
      <c r="F45" s="5"/>
      <c r="G45" s="5">
        <v>20873</v>
      </c>
      <c r="H45" s="6">
        <f t="shared" si="0"/>
        <v>0.25956922923869</v>
      </c>
      <c r="I45" s="5">
        <v>343628.98</v>
      </c>
      <c r="J45" s="6">
        <f t="shared" si="1"/>
        <v>0.20448607224524</v>
      </c>
    </row>
    <row r="46" spans="1:10">
      <c r="A46" s="5"/>
      <c r="B46" s="5"/>
      <c r="C46" s="5"/>
      <c r="D46" s="5"/>
      <c r="E46" s="5" t="s">
        <v>1975</v>
      </c>
      <c r="F46" s="5"/>
      <c r="G46" s="5">
        <v>20873</v>
      </c>
      <c r="H46" s="6">
        <f t="shared" si="0"/>
        <v>0.25956922923869</v>
      </c>
      <c r="I46" s="5">
        <v>343628.98</v>
      </c>
      <c r="J46" s="6">
        <f t="shared" si="1"/>
        <v>0.20448607224524</v>
      </c>
    </row>
    <row r="47" spans="1:10">
      <c r="A47" s="7"/>
      <c r="B47" s="7"/>
      <c r="C47" s="7"/>
      <c r="D47" s="7"/>
      <c r="E47" s="7"/>
      <c r="F47" s="7" t="s">
        <v>23</v>
      </c>
      <c r="G47" s="7">
        <v>1488</v>
      </c>
      <c r="H47" s="8">
        <f t="shared" si="0"/>
        <v>0.0185042405551272</v>
      </c>
      <c r="I47" s="7">
        <v>25582.21</v>
      </c>
      <c r="J47" s="8">
        <f t="shared" si="1"/>
        <v>0.0152234123043199</v>
      </c>
    </row>
    <row r="48" spans="1:10">
      <c r="A48" s="7"/>
      <c r="B48" s="7"/>
      <c r="C48" s="7"/>
      <c r="D48" s="7"/>
      <c r="E48" s="7"/>
      <c r="F48" s="7" t="s">
        <v>21</v>
      </c>
      <c r="G48" s="7">
        <v>19385</v>
      </c>
      <c r="H48" s="8">
        <f t="shared" si="0"/>
        <v>0.241064988683563</v>
      </c>
      <c r="I48" s="7">
        <v>318046.77</v>
      </c>
      <c r="J48" s="8">
        <f t="shared" si="1"/>
        <v>0.18926265994092</v>
      </c>
    </row>
    <row r="49" spans="1:10">
      <c r="A49" s="11" t="s">
        <v>1976</v>
      </c>
      <c r="B49" s="11"/>
      <c r="C49" s="11"/>
      <c r="D49" s="11"/>
      <c r="E49" s="11"/>
      <c r="F49" s="11"/>
      <c r="G49" s="11">
        <v>80414</v>
      </c>
      <c r="H49" s="12">
        <f t="shared" si="0"/>
        <v>1</v>
      </c>
      <c r="I49" s="11">
        <v>1680451.76</v>
      </c>
      <c r="J49" s="12">
        <f t="shared" si="1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25.5</vt:lpstr>
      <vt:lpstr>26.5</vt:lpstr>
      <vt:lpstr>26年出货渠道对比-Amazon</vt:lpstr>
      <vt:lpstr>25年、26年出货渠道对比</vt:lpstr>
      <vt:lpstr>25年、26年采购量和采购总额对比-三平台</vt:lpstr>
      <vt:lpstr>25年、26年报关占比表--Amazon</vt:lpstr>
      <vt:lpstr>25.5数据分析</vt:lpstr>
      <vt:lpstr>26.5数据分析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Dominating the night</cp:lastModifiedBy>
  <dcterms:created xsi:type="dcterms:W3CDTF">2026-02-21T16:06:00Z</dcterms:created>
  <dcterms:modified xsi:type="dcterms:W3CDTF">2026-06-16T07:07:00Z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FEA13A6F2D0E465399F64CAA42746727_13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